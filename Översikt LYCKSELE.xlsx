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45831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45831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45831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45831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45831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38164-2023</t>
        </is>
      </c>
      <c r="B7" s="1" t="n">
        <v>45161</v>
      </c>
      <c r="C7" s="1" t="n">
        <v>45831</v>
      </c>
      <c r="D7" t="inlineStr">
        <is>
          <t>VÄSTERBOTTENS LÄN</t>
        </is>
      </c>
      <c r="E7" t="inlineStr">
        <is>
          <t>LYCKSELE</t>
        </is>
      </c>
      <c r="G7" t="n">
        <v>7.3</v>
      </c>
      <c r="H7" t="n">
        <v>2</v>
      </c>
      <c r="I7" t="n">
        <v>2</v>
      </c>
      <c r="J7" t="n">
        <v>12</v>
      </c>
      <c r="K7" t="n">
        <v>2</v>
      </c>
      <c r="L7" t="n">
        <v>0</v>
      </c>
      <c r="M7" t="n">
        <v>0</v>
      </c>
      <c r="N7" t="n">
        <v>0</v>
      </c>
      <c r="O7" t="n">
        <v>14</v>
      </c>
      <c r="P7" t="n">
        <v>2</v>
      </c>
      <c r="Q7" t="n">
        <v>16</v>
      </c>
      <c r="R7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7">
        <f>HYPERLINK("https://klasma.github.io/Logging_2481/artfynd/A 38164-2023 artfynd.xlsx", "A 38164-2023")</f>
        <v/>
      </c>
      <c r="T7">
        <f>HYPERLINK("https://klasma.github.io/Logging_2481/kartor/A 38164-2023 karta.png", "A 38164-2023")</f>
        <v/>
      </c>
      <c r="V7">
        <f>HYPERLINK("https://klasma.github.io/Logging_2481/klagomål/A 38164-2023 FSC-klagomål.docx", "A 38164-2023")</f>
        <v/>
      </c>
      <c r="W7">
        <f>HYPERLINK("https://klasma.github.io/Logging_2481/klagomålsmail/A 38164-2023 FSC-klagomål mail.docx", "A 38164-2023")</f>
        <v/>
      </c>
      <c r="X7">
        <f>HYPERLINK("https://klasma.github.io/Logging_2481/tillsyn/A 38164-2023 tillsynsbegäran.docx", "A 38164-2023")</f>
        <v/>
      </c>
      <c r="Y7">
        <f>HYPERLINK("https://klasma.github.io/Logging_2481/tillsynsmail/A 38164-2023 tillsynsbegäran mail.docx", "A 38164-2023")</f>
        <v/>
      </c>
      <c r="Z7">
        <f>HYPERLINK("https://klasma.github.io/Logging_2481/fåglar/A 38164-2023 prioriterade fågelarter.docx", "A 38164-2023")</f>
        <v/>
      </c>
    </row>
    <row r="8" ht="15" customHeight="1">
      <c r="A8" t="inlineStr">
        <is>
          <t>A 39376-2019</t>
        </is>
      </c>
      <c r="B8" s="1" t="n">
        <v>43690</v>
      </c>
      <c r="C8" s="1" t="n">
        <v>45831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8.4</v>
      </c>
      <c r="H8" t="n">
        <v>3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15</v>
      </c>
      <c r="R8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8">
        <f>HYPERLINK("https://klasma.github.io/Logging_2481/artfynd/A 39376-2019 artfynd.xlsx", "A 39376-2019")</f>
        <v/>
      </c>
      <c r="T8">
        <f>HYPERLINK("https://klasma.github.io/Logging_2481/kartor/A 39376-2019 karta.png", "A 39376-2019")</f>
        <v/>
      </c>
      <c r="V8">
        <f>HYPERLINK("https://klasma.github.io/Logging_2481/klagomål/A 39376-2019 FSC-klagomål.docx", "A 39376-2019")</f>
        <v/>
      </c>
      <c r="W8">
        <f>HYPERLINK("https://klasma.github.io/Logging_2481/klagomålsmail/A 39376-2019 FSC-klagomål mail.docx", "A 39376-2019")</f>
        <v/>
      </c>
      <c r="X8">
        <f>HYPERLINK("https://klasma.github.io/Logging_2481/tillsyn/A 39376-2019 tillsynsbegäran.docx", "A 39376-2019")</f>
        <v/>
      </c>
      <c r="Y8">
        <f>HYPERLINK("https://klasma.github.io/Logging_2481/tillsynsmail/A 39376-2019 tillsynsbegäran mail.docx", "A 39376-2019")</f>
        <v/>
      </c>
      <c r="Z8">
        <f>HYPERLINK("https://klasma.github.io/Logging_2481/fåglar/A 39376-2019 prioriterade fågelarter.docx", "A 39376-2019")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45831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45831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45831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45831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45831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45831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45831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45831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45831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45831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45831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45831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45831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45831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45831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55094-2023</t>
        </is>
      </c>
      <c r="B24" s="1" t="n">
        <v>45237</v>
      </c>
      <c r="C24" s="1" t="n">
        <v>45831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22</v>
      </c>
      <c r="H24" t="n">
        <v>6</v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9</v>
      </c>
      <c r="R24" s="2" t="inlineStr">
        <is>
          <t>Gräsull
Guckusko
Korallrot
Spindelblomster
Tibast
Ögonpyrola
Brudsporre
Fläcknycklar
Revlummer</t>
        </is>
      </c>
      <c r="S24">
        <f>HYPERLINK("https://klasma.github.io/Logging_2481/artfynd/A 55094-2023 artfynd.xlsx", "A 55094-2023")</f>
        <v/>
      </c>
      <c r="T24">
        <f>HYPERLINK("https://klasma.github.io/Logging_2481/kartor/A 55094-2023 karta.png", "A 55094-2023")</f>
        <v/>
      </c>
      <c r="V24">
        <f>HYPERLINK("https://klasma.github.io/Logging_2481/klagomål/A 55094-2023 FSC-klagomål.docx", "A 55094-2023")</f>
        <v/>
      </c>
      <c r="W24">
        <f>HYPERLINK("https://klasma.github.io/Logging_2481/klagomålsmail/A 55094-2023 FSC-klagomål mail.docx", "A 55094-2023")</f>
        <v/>
      </c>
      <c r="X24">
        <f>HYPERLINK("https://klasma.github.io/Logging_2481/tillsyn/A 55094-2023 tillsynsbegäran.docx", "A 55094-2023")</f>
        <v/>
      </c>
      <c r="Y24">
        <f>HYPERLINK("https://klasma.github.io/Logging_2481/tillsynsmail/A 55094-2023 tillsynsbegäran mail.docx", "A 55094-2023")</f>
        <v/>
      </c>
    </row>
    <row r="25" ht="15" customHeight="1">
      <c r="A25" t="inlineStr">
        <is>
          <t>A 1828-2024</t>
        </is>
      </c>
      <c r="B25" s="1" t="n">
        <v>45307</v>
      </c>
      <c r="C25" s="1" t="n">
        <v>45831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20</v>
      </c>
      <c r="H25" t="n">
        <v>0</v>
      </c>
      <c r="I25" t="n">
        <v>0</v>
      </c>
      <c r="J25" t="n">
        <v>6</v>
      </c>
      <c r="K25" t="n">
        <v>3</v>
      </c>
      <c r="L25" t="n">
        <v>0</v>
      </c>
      <c r="M25" t="n">
        <v>0</v>
      </c>
      <c r="N25" t="n">
        <v>0</v>
      </c>
      <c r="O25" t="n">
        <v>9</v>
      </c>
      <c r="P25" t="n">
        <v>3</v>
      </c>
      <c r="Q25" t="n">
        <v>9</v>
      </c>
      <c r="R25" s="2" t="inlineStr">
        <is>
          <t>Spadskinn
Tallmusseron
Torrmusseron
Blå taggsvamp
Dvärgbägarlav
Skrovlig taggsvamp
Svartvit taggsvamp
Tallriska
Vaddporing</t>
        </is>
      </c>
      <c r="S25">
        <f>HYPERLINK("https://klasma.github.io/Logging_2481/artfynd/A 1828-2024 artfynd.xlsx", "A 1828-2024")</f>
        <v/>
      </c>
      <c r="T25">
        <f>HYPERLINK("https://klasma.github.io/Logging_2481/kartor/A 1828-2024 karta.png", "A 1828-2024")</f>
        <v/>
      </c>
      <c r="V25">
        <f>HYPERLINK("https://klasma.github.io/Logging_2481/klagomål/A 1828-2024 FSC-klagomål.docx", "A 1828-2024")</f>
        <v/>
      </c>
      <c r="W25">
        <f>HYPERLINK("https://klasma.github.io/Logging_2481/klagomålsmail/A 1828-2024 FSC-klagomål mail.docx", "A 1828-2024")</f>
        <v/>
      </c>
      <c r="X25">
        <f>HYPERLINK("https://klasma.github.io/Logging_2481/tillsyn/A 1828-2024 tillsynsbegäran.docx", "A 1828-2024")</f>
        <v/>
      </c>
      <c r="Y25">
        <f>HYPERLINK("https://klasma.github.io/Logging_2481/tillsynsmail/A 1828-2024 tillsynsbegäran mail.docx", "A 1828-2024")</f>
        <v/>
      </c>
    </row>
    <row r="26" ht="15" customHeight="1">
      <c r="A26" t="inlineStr">
        <is>
          <t>A 68176-2019</t>
        </is>
      </c>
      <c r="B26" s="1" t="n">
        <v>43817</v>
      </c>
      <c r="C26" s="1" t="n">
        <v>45831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44.2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Doftticka
Lunglav
Tretåig hackspett
Ullticka
Dvärgtufs
Plattlummer
Skinnlav
Stuplav</t>
        </is>
      </c>
      <c r="S26">
        <f>HYPERLINK("https://klasma.github.io/Logging_2481/artfynd/A 68176-2019 artfynd.xlsx", "A 68176-2019")</f>
        <v/>
      </c>
      <c r="T26">
        <f>HYPERLINK("https://klasma.github.io/Logging_2481/kartor/A 68176-2019 karta.png", "A 68176-2019")</f>
        <v/>
      </c>
      <c r="V26">
        <f>HYPERLINK("https://klasma.github.io/Logging_2481/klagomål/A 68176-2019 FSC-klagomål.docx", "A 68176-2019")</f>
        <v/>
      </c>
      <c r="W26">
        <f>HYPERLINK("https://klasma.github.io/Logging_2481/klagomålsmail/A 68176-2019 FSC-klagomål mail.docx", "A 68176-2019")</f>
        <v/>
      </c>
      <c r="X26">
        <f>HYPERLINK("https://klasma.github.io/Logging_2481/tillsyn/A 68176-2019 tillsynsbegäran.docx", "A 68176-2019")</f>
        <v/>
      </c>
      <c r="Y26">
        <f>HYPERLINK("https://klasma.github.io/Logging_2481/tillsynsmail/A 68176-2019 tillsynsbegäran mail.docx", "A 68176-2019")</f>
        <v/>
      </c>
      <c r="Z26">
        <f>HYPERLINK("https://klasma.github.io/Logging_2481/fåglar/A 68176-2019 prioriterade fågelarter.docx", "A 68176-2019")</f>
        <v/>
      </c>
    </row>
    <row r="27" ht="15" customHeight="1">
      <c r="A27" t="inlineStr">
        <is>
          <t>A 63588-2021</t>
        </is>
      </c>
      <c r="B27" s="1" t="n">
        <v>44508</v>
      </c>
      <c r="C27" s="1" t="n">
        <v>45831</v>
      </c>
      <c r="D27" t="inlineStr">
        <is>
          <t>VÄSTERBOTTENS LÄN</t>
        </is>
      </c>
      <c r="E27" t="inlineStr">
        <is>
          <t>LYCKSELE</t>
        </is>
      </c>
      <c r="G27" t="n">
        <v>5.8</v>
      </c>
      <c r="H27" t="n">
        <v>0</v>
      </c>
      <c r="I27" t="n">
        <v>1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8</v>
      </c>
      <c r="R27" s="2" t="inlineStr">
        <is>
          <t>Blå taggsvamp
Garnlav
Leptoporus mollis
Orange taggsvamp
Rosenticka
Ullticka
Vitgrynig nållav
Dropptaggsvamp</t>
        </is>
      </c>
      <c r="S27">
        <f>HYPERLINK("https://klasma.github.io/Logging_2481/artfynd/A 63588-2021 artfynd.xlsx", "A 63588-2021")</f>
        <v/>
      </c>
      <c r="T27">
        <f>HYPERLINK("https://klasma.github.io/Logging_2481/kartor/A 63588-2021 karta.png", "A 63588-2021")</f>
        <v/>
      </c>
      <c r="V27">
        <f>HYPERLINK("https://klasma.github.io/Logging_2481/klagomål/A 63588-2021 FSC-klagomål.docx", "A 63588-2021")</f>
        <v/>
      </c>
      <c r="W27">
        <f>HYPERLINK("https://klasma.github.io/Logging_2481/klagomålsmail/A 63588-2021 FSC-klagomål mail.docx", "A 63588-2021")</f>
        <v/>
      </c>
      <c r="X27">
        <f>HYPERLINK("https://klasma.github.io/Logging_2481/tillsyn/A 63588-2021 tillsynsbegäran.docx", "A 63588-2021")</f>
        <v/>
      </c>
      <c r="Y27">
        <f>HYPERLINK("https://klasma.github.io/Logging_2481/tillsynsmail/A 63588-2021 tillsynsbegäran mail.docx", "A 63588-2021")</f>
        <v/>
      </c>
    </row>
    <row r="28" ht="15" customHeight="1">
      <c r="A28" t="inlineStr">
        <is>
          <t>A 9327-2022</t>
        </is>
      </c>
      <c r="B28" s="1" t="n">
        <v>44616</v>
      </c>
      <c r="C28" s="1" t="n">
        <v>45831</v>
      </c>
      <c r="D28" t="inlineStr">
        <is>
          <t>VÄSTERBOTTENS LÄN</t>
        </is>
      </c>
      <c r="E28" t="inlineStr">
        <is>
          <t>LYCKSELE</t>
        </is>
      </c>
      <c r="G28" t="n">
        <v>10.1</v>
      </c>
      <c r="H28" t="n">
        <v>4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8</v>
      </c>
      <c r="R28" s="2" t="inlineStr">
        <is>
          <t>Rynkskinn
Garnlav
Granticka
Spillkråka
Talltita
Tretåig hackspett
Ullticka
Fläcknycklar</t>
        </is>
      </c>
      <c r="S28">
        <f>HYPERLINK("https://klasma.github.io/Logging_2481/artfynd/A 9327-2022 artfynd.xlsx", "A 9327-2022")</f>
        <v/>
      </c>
      <c r="T28">
        <f>HYPERLINK("https://klasma.github.io/Logging_2481/kartor/A 9327-2022 karta.png", "A 9327-2022")</f>
        <v/>
      </c>
      <c r="V28">
        <f>HYPERLINK("https://klasma.github.io/Logging_2481/klagomål/A 9327-2022 FSC-klagomål.docx", "A 9327-2022")</f>
        <v/>
      </c>
      <c r="W28">
        <f>HYPERLINK("https://klasma.github.io/Logging_2481/klagomålsmail/A 9327-2022 FSC-klagomål mail.docx", "A 9327-2022")</f>
        <v/>
      </c>
      <c r="X28">
        <f>HYPERLINK("https://klasma.github.io/Logging_2481/tillsyn/A 9327-2022 tillsynsbegäran.docx", "A 9327-2022")</f>
        <v/>
      </c>
      <c r="Y28">
        <f>HYPERLINK("https://klasma.github.io/Logging_2481/tillsynsmail/A 9327-2022 tillsynsbegäran mail.docx", "A 9327-2022")</f>
        <v/>
      </c>
      <c r="Z28">
        <f>HYPERLINK("https://klasma.github.io/Logging_2481/fåglar/A 9327-2022 prioriterade fågelarter.docx", "A 9327-2022")</f>
        <v/>
      </c>
    </row>
    <row r="29" ht="15" customHeight="1">
      <c r="A29" t="inlineStr">
        <is>
          <t>A 36650-2023</t>
        </is>
      </c>
      <c r="B29" s="1" t="n">
        <v>45152</v>
      </c>
      <c r="C29" s="1" t="n">
        <v>45831</v>
      </c>
      <c r="D29" t="inlineStr">
        <is>
          <t>VÄSTERBOTTENS LÄN</t>
        </is>
      </c>
      <c r="E29" t="inlineStr">
        <is>
          <t>LYCKSELE</t>
        </is>
      </c>
      <c r="G29" t="n">
        <v>6.8</v>
      </c>
      <c r="H29" t="n">
        <v>2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Doftskinn
Garnlav
Granticka
Lunglav
Tretåig hackspett
Norrlandslav
Skinnlav
Revlummer</t>
        </is>
      </c>
      <c r="S29">
        <f>HYPERLINK("https://klasma.github.io/Logging_2481/artfynd/A 36650-2023 artfynd.xlsx", "A 36650-2023")</f>
        <v/>
      </c>
      <c r="T29">
        <f>HYPERLINK("https://klasma.github.io/Logging_2481/kartor/A 36650-2023 karta.png", "A 36650-2023")</f>
        <v/>
      </c>
      <c r="V29">
        <f>HYPERLINK("https://klasma.github.io/Logging_2481/klagomål/A 36650-2023 FSC-klagomål.docx", "A 36650-2023")</f>
        <v/>
      </c>
      <c r="W29">
        <f>HYPERLINK("https://klasma.github.io/Logging_2481/klagomålsmail/A 36650-2023 FSC-klagomål mail.docx", "A 36650-2023")</f>
        <v/>
      </c>
      <c r="X29">
        <f>HYPERLINK("https://klasma.github.io/Logging_2481/tillsyn/A 36650-2023 tillsynsbegäran.docx", "A 36650-2023")</f>
        <v/>
      </c>
      <c r="Y29">
        <f>HYPERLINK("https://klasma.github.io/Logging_2481/tillsynsmail/A 36650-2023 tillsynsbegäran mail.docx", "A 36650-2023")</f>
        <v/>
      </c>
      <c r="Z29">
        <f>HYPERLINK("https://klasma.github.io/Logging_2481/fåglar/A 36650-2023 prioriterade fågelarter.docx", "A 36650-2023")</f>
        <v/>
      </c>
    </row>
    <row r="30" ht="15" customHeight="1">
      <c r="A30" t="inlineStr">
        <is>
          <t>A 6948-2024</t>
        </is>
      </c>
      <c r="B30" s="1" t="n">
        <v>45343</v>
      </c>
      <c r="C30" s="1" t="n">
        <v>45831</v>
      </c>
      <c r="D30" t="inlineStr">
        <is>
          <t>VÄSTERBOTTENS LÄN</t>
        </is>
      </c>
      <c r="E30" t="inlineStr">
        <is>
          <t>LYCKSELE</t>
        </is>
      </c>
      <c r="G30" t="n">
        <v>16.6</v>
      </c>
      <c r="H30" t="n">
        <v>0</v>
      </c>
      <c r="I30" t="n">
        <v>1</v>
      </c>
      <c r="J30" t="n">
        <v>4</v>
      </c>
      <c r="K30" t="n">
        <v>3</v>
      </c>
      <c r="L30" t="n">
        <v>0</v>
      </c>
      <c r="M30" t="n">
        <v>0</v>
      </c>
      <c r="N30" t="n">
        <v>0</v>
      </c>
      <c r="O30" t="n">
        <v>7</v>
      </c>
      <c r="P30" t="n">
        <v>3</v>
      </c>
      <c r="Q30" t="n">
        <v>8</v>
      </c>
      <c r="R30" s="2" t="inlineStr">
        <is>
          <t>Smalfotad taggsvamp
Tallmusseron
Torrmusseron
Dvärgbägarlav
Skrovlig taggsvamp
Talltaggsvamp
Vaddporing
Dropptaggsvamp</t>
        </is>
      </c>
      <c r="S30">
        <f>HYPERLINK("https://klasma.github.io/Logging_2481/artfynd/A 6948-2024 artfynd.xlsx", "A 6948-2024")</f>
        <v/>
      </c>
      <c r="T30">
        <f>HYPERLINK("https://klasma.github.io/Logging_2481/kartor/A 6948-2024 karta.png", "A 6948-2024")</f>
        <v/>
      </c>
      <c r="V30">
        <f>HYPERLINK("https://klasma.github.io/Logging_2481/klagomål/A 6948-2024 FSC-klagomål.docx", "A 6948-2024")</f>
        <v/>
      </c>
      <c r="W30">
        <f>HYPERLINK("https://klasma.github.io/Logging_2481/klagomålsmail/A 6948-2024 FSC-klagomål mail.docx", "A 6948-2024")</f>
        <v/>
      </c>
      <c r="X30">
        <f>HYPERLINK("https://klasma.github.io/Logging_2481/tillsyn/A 6948-2024 tillsynsbegäran.docx", "A 6948-2024")</f>
        <v/>
      </c>
      <c r="Y30">
        <f>HYPERLINK("https://klasma.github.io/Logging_2481/tillsynsmail/A 6948-2024 tillsynsbegäran mail.docx", "A 6948-2024")</f>
        <v/>
      </c>
    </row>
    <row r="31" ht="15" customHeight="1">
      <c r="A31" t="inlineStr">
        <is>
          <t>A 33691-2024</t>
        </is>
      </c>
      <c r="B31" s="1" t="n">
        <v>45520</v>
      </c>
      <c r="C31" s="1" t="n">
        <v>45831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18.4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Garnlav
Granticka
Lunglav
Rosenticka
Skrovellav
Talltita
Bårdlav
Stor aspticka</t>
        </is>
      </c>
      <c r="S31">
        <f>HYPERLINK("https://klasma.github.io/Logging_2481/artfynd/A 33691-2024 artfynd.xlsx", "A 33691-2024")</f>
        <v/>
      </c>
      <c r="T31">
        <f>HYPERLINK("https://klasma.github.io/Logging_2481/kartor/A 33691-2024 karta.png", "A 33691-2024")</f>
        <v/>
      </c>
      <c r="V31">
        <f>HYPERLINK("https://klasma.github.io/Logging_2481/klagomål/A 33691-2024 FSC-klagomål.docx", "A 33691-2024")</f>
        <v/>
      </c>
      <c r="W31">
        <f>HYPERLINK("https://klasma.github.io/Logging_2481/klagomålsmail/A 33691-2024 FSC-klagomål mail.docx", "A 33691-2024")</f>
        <v/>
      </c>
      <c r="X31">
        <f>HYPERLINK("https://klasma.github.io/Logging_2481/tillsyn/A 33691-2024 tillsynsbegäran.docx", "A 33691-2024")</f>
        <v/>
      </c>
      <c r="Y31">
        <f>HYPERLINK("https://klasma.github.io/Logging_2481/tillsynsmail/A 33691-2024 tillsynsbegäran mail.docx", "A 33691-2024")</f>
        <v/>
      </c>
      <c r="Z31">
        <f>HYPERLINK("https://klasma.github.io/Logging_2481/fåglar/A 33691-2024 prioriterade fågelarter.docx", "A 33691-2024")</f>
        <v/>
      </c>
    </row>
    <row r="32" ht="15" customHeight="1">
      <c r="A32" t="inlineStr">
        <is>
          <t>A 2110-2025</t>
        </is>
      </c>
      <c r="B32" s="1" t="n">
        <v>45672</v>
      </c>
      <c r="C32" s="1" t="n">
        <v>45831</v>
      </c>
      <c r="D32" t="inlineStr">
        <is>
          <t>VÄSTERBOTTENS LÄN</t>
        </is>
      </c>
      <c r="E32" t="inlineStr">
        <is>
          <t>LYCKSELE</t>
        </is>
      </c>
      <c r="G32" t="n">
        <v>11.6</v>
      </c>
      <c r="H32" t="n">
        <v>0</v>
      </c>
      <c r="I32" t="n">
        <v>1</v>
      </c>
      <c r="J32" t="n">
        <v>7</v>
      </c>
      <c r="K32" t="n">
        <v>0</v>
      </c>
      <c r="L32" t="n">
        <v>0</v>
      </c>
      <c r="M32" t="n">
        <v>0</v>
      </c>
      <c r="N32" t="n">
        <v>0</v>
      </c>
      <c r="O32" t="n">
        <v>7</v>
      </c>
      <c r="P32" t="n">
        <v>0</v>
      </c>
      <c r="Q32" t="n">
        <v>8</v>
      </c>
      <c r="R32" s="2" t="inlineStr">
        <is>
          <t>Brunpudrad nållav
Gammelgransskål
Garnlav
Granticka
Knottrig blåslav
Lunglav
Rödbrun blekspik
Trådticka</t>
        </is>
      </c>
      <c r="S32">
        <f>HYPERLINK("https://klasma.github.io/Logging_2481/artfynd/A 2110-2025 artfynd.xlsx", "A 2110-2025")</f>
        <v/>
      </c>
      <c r="T32">
        <f>HYPERLINK("https://klasma.github.io/Logging_2481/kartor/A 2110-2025 karta.png", "A 2110-2025")</f>
        <v/>
      </c>
      <c r="V32">
        <f>HYPERLINK("https://klasma.github.io/Logging_2481/klagomål/A 2110-2025 FSC-klagomål.docx", "A 2110-2025")</f>
        <v/>
      </c>
      <c r="W32">
        <f>HYPERLINK("https://klasma.github.io/Logging_2481/klagomålsmail/A 2110-2025 FSC-klagomål mail.docx", "A 2110-2025")</f>
        <v/>
      </c>
      <c r="X32">
        <f>HYPERLINK("https://klasma.github.io/Logging_2481/tillsyn/A 2110-2025 tillsynsbegäran.docx", "A 2110-2025")</f>
        <v/>
      </c>
      <c r="Y32">
        <f>HYPERLINK("https://klasma.github.io/Logging_2481/tillsynsmail/A 2110-2025 tillsynsbegäran mail.docx", "A 2110-2025")</f>
        <v/>
      </c>
    </row>
    <row r="33" ht="15" customHeight="1">
      <c r="A33" t="inlineStr">
        <is>
          <t>A 6514-2025</t>
        </is>
      </c>
      <c r="B33" s="1" t="n">
        <v>45699</v>
      </c>
      <c r="C33" s="1" t="n">
        <v>45831</v>
      </c>
      <c r="D33" t="inlineStr">
        <is>
          <t>VÄSTERBOTTENS LÄN</t>
        </is>
      </c>
      <c r="E33" t="inlineStr">
        <is>
          <t>LYCKSELE</t>
        </is>
      </c>
      <c r="F33" t="inlineStr">
        <is>
          <t>Övriga Aktiebolag</t>
        </is>
      </c>
      <c r="G33" t="n">
        <v>12.3</v>
      </c>
      <c r="H33" t="n">
        <v>1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Gammelgransskål
Garnlav
Lunglav
Vedflamlav
Vedflikmossa
Bårdlav
Stuplav
Revlummer</t>
        </is>
      </c>
      <c r="S33">
        <f>HYPERLINK("https://klasma.github.io/Logging_2481/artfynd/A 6514-2025 artfynd.xlsx", "A 6514-2025")</f>
        <v/>
      </c>
      <c r="T33">
        <f>HYPERLINK("https://klasma.github.io/Logging_2481/kartor/A 6514-2025 karta.png", "A 6514-2025")</f>
        <v/>
      </c>
      <c r="V33">
        <f>HYPERLINK("https://klasma.github.io/Logging_2481/klagomål/A 6514-2025 FSC-klagomål.docx", "A 6514-2025")</f>
        <v/>
      </c>
      <c r="W33">
        <f>HYPERLINK("https://klasma.github.io/Logging_2481/klagomålsmail/A 6514-2025 FSC-klagomål mail.docx", "A 6514-2025")</f>
        <v/>
      </c>
      <c r="X33">
        <f>HYPERLINK("https://klasma.github.io/Logging_2481/tillsyn/A 6514-2025 tillsynsbegäran.docx", "A 6514-2025")</f>
        <v/>
      </c>
      <c r="Y33">
        <f>HYPERLINK("https://klasma.github.io/Logging_2481/tillsynsmail/A 6514-2025 tillsynsbegäran mail.docx", "A 6514-2025")</f>
        <v/>
      </c>
    </row>
    <row r="34" ht="15" customHeight="1">
      <c r="A34" t="inlineStr">
        <is>
          <t>A 18771-2019</t>
        </is>
      </c>
      <c r="B34" s="1" t="n">
        <v>43560</v>
      </c>
      <c r="C34" s="1" t="n">
        <v>45831</v>
      </c>
      <c r="D34" t="inlineStr">
        <is>
          <t>VÄSTERBOTTENS LÄN</t>
        </is>
      </c>
      <c r="E34" t="inlineStr">
        <is>
          <t>LYCKSELE</t>
        </is>
      </c>
      <c r="F34" t="inlineStr">
        <is>
          <t>SCA</t>
        </is>
      </c>
      <c r="G34" t="n">
        <v>2</v>
      </c>
      <c r="H34" t="n">
        <v>0</v>
      </c>
      <c r="I34" t="n">
        <v>3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7</v>
      </c>
      <c r="R34" s="2" t="inlineStr">
        <is>
          <t>Garnlav
Granticka
Ullticka
Veckticka
Norrlandslav
Stuplav
Vågbandad barkbock</t>
        </is>
      </c>
      <c r="S34">
        <f>HYPERLINK("https://klasma.github.io/Logging_2481/artfynd/A 18771-2019 artfynd.xlsx", "A 18771-2019")</f>
        <v/>
      </c>
      <c r="T34">
        <f>HYPERLINK("https://klasma.github.io/Logging_2481/kartor/A 18771-2019 karta.png", "A 18771-2019")</f>
        <v/>
      </c>
      <c r="V34">
        <f>HYPERLINK("https://klasma.github.io/Logging_2481/klagomål/A 18771-2019 FSC-klagomål.docx", "A 18771-2019")</f>
        <v/>
      </c>
      <c r="W34">
        <f>HYPERLINK("https://klasma.github.io/Logging_2481/klagomålsmail/A 18771-2019 FSC-klagomål mail.docx", "A 18771-2019")</f>
        <v/>
      </c>
      <c r="X34">
        <f>HYPERLINK("https://klasma.github.io/Logging_2481/tillsyn/A 18771-2019 tillsynsbegäran.docx", "A 18771-2019")</f>
        <v/>
      </c>
      <c r="Y34">
        <f>HYPERLINK("https://klasma.github.io/Logging_2481/tillsynsmail/A 18771-2019 tillsynsbegäran mail.docx", "A 18771-2019")</f>
        <v/>
      </c>
    </row>
    <row r="35" ht="15" customHeight="1">
      <c r="A35" t="inlineStr">
        <is>
          <t>A 54435-2019</t>
        </is>
      </c>
      <c r="B35" s="1" t="n">
        <v>43747</v>
      </c>
      <c r="C35" s="1" t="n">
        <v>45831</v>
      </c>
      <c r="D35" t="inlineStr">
        <is>
          <t>VÄSTERBOTTENS LÄN</t>
        </is>
      </c>
      <c r="E35" t="inlineStr">
        <is>
          <t>LYCKSELE</t>
        </is>
      </c>
      <c r="G35" t="n">
        <v>10.5</v>
      </c>
      <c r="H35" t="n">
        <v>3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7</v>
      </c>
      <c r="R35" s="2" t="inlineStr">
        <is>
          <t>Garnlav
Järpe
Lunglav
Spillkråka
Ullticka
Vedticka
Fläcknycklar</t>
        </is>
      </c>
      <c r="S35">
        <f>HYPERLINK("https://klasma.github.io/Logging_2481/artfynd/A 54435-2019 artfynd.xlsx", "A 54435-2019")</f>
        <v/>
      </c>
      <c r="T35">
        <f>HYPERLINK("https://klasma.github.io/Logging_2481/kartor/A 54435-2019 karta.png", "A 54435-2019")</f>
        <v/>
      </c>
      <c r="V35">
        <f>HYPERLINK("https://klasma.github.io/Logging_2481/klagomål/A 54435-2019 FSC-klagomål.docx", "A 54435-2019")</f>
        <v/>
      </c>
      <c r="W35">
        <f>HYPERLINK("https://klasma.github.io/Logging_2481/klagomålsmail/A 54435-2019 FSC-klagomål mail.docx", "A 54435-2019")</f>
        <v/>
      </c>
      <c r="X35">
        <f>HYPERLINK("https://klasma.github.io/Logging_2481/tillsyn/A 54435-2019 tillsynsbegäran.docx", "A 54435-2019")</f>
        <v/>
      </c>
      <c r="Y35">
        <f>HYPERLINK("https://klasma.github.io/Logging_2481/tillsynsmail/A 54435-2019 tillsynsbegäran mail.docx", "A 54435-2019")</f>
        <v/>
      </c>
      <c r="Z35">
        <f>HYPERLINK("https://klasma.github.io/Logging_2481/fåglar/A 54435-2019 prioriterade fågelarter.docx", "A 54435-2019")</f>
        <v/>
      </c>
    </row>
    <row r="36" ht="15" customHeight="1">
      <c r="A36" t="inlineStr">
        <is>
          <t>A 48782-2020</t>
        </is>
      </c>
      <c r="B36" s="1" t="n">
        <v>44103</v>
      </c>
      <c r="C36" s="1" t="n">
        <v>45831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2.1</v>
      </c>
      <c r="H36" t="n">
        <v>0</v>
      </c>
      <c r="I36" t="n">
        <v>1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7</v>
      </c>
      <c r="R36" s="2" t="inlineStr">
        <is>
          <t>Gammelgransskål
Garnlav
Granticka
Gränsticka
Ullticka
Vedskivlav
Bronshjon</t>
        </is>
      </c>
      <c r="S36">
        <f>HYPERLINK("https://klasma.github.io/Logging_2481/artfynd/A 48782-2020 artfynd.xlsx", "A 48782-2020")</f>
        <v/>
      </c>
      <c r="T36">
        <f>HYPERLINK("https://klasma.github.io/Logging_2481/kartor/A 48782-2020 karta.png", "A 48782-2020")</f>
        <v/>
      </c>
      <c r="V36">
        <f>HYPERLINK("https://klasma.github.io/Logging_2481/klagomål/A 48782-2020 FSC-klagomål.docx", "A 48782-2020")</f>
        <v/>
      </c>
      <c r="W36">
        <f>HYPERLINK("https://klasma.github.io/Logging_2481/klagomålsmail/A 48782-2020 FSC-klagomål mail.docx", "A 48782-2020")</f>
        <v/>
      </c>
      <c r="X36">
        <f>HYPERLINK("https://klasma.github.io/Logging_2481/tillsyn/A 48782-2020 tillsynsbegäran.docx", "A 48782-2020")</f>
        <v/>
      </c>
      <c r="Y36">
        <f>HYPERLINK("https://klasma.github.io/Logging_2481/tillsynsmail/A 48782-2020 tillsynsbegäran mail.docx", "A 48782-2020")</f>
        <v/>
      </c>
    </row>
    <row r="37" ht="15" customHeight="1">
      <c r="A37" t="inlineStr">
        <is>
          <t>A 50008-2020</t>
        </is>
      </c>
      <c r="B37" s="1" t="n">
        <v>44109</v>
      </c>
      <c r="C37" s="1" t="n">
        <v>45831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1.3</v>
      </c>
      <c r="H37" t="n">
        <v>3</v>
      </c>
      <c r="I37" t="n">
        <v>0</v>
      </c>
      <c r="J37" t="n">
        <v>5</v>
      </c>
      <c r="K37" t="n">
        <v>2</v>
      </c>
      <c r="L37" t="n">
        <v>0</v>
      </c>
      <c r="M37" t="n">
        <v>0</v>
      </c>
      <c r="N37" t="n">
        <v>0</v>
      </c>
      <c r="O37" t="n">
        <v>7</v>
      </c>
      <c r="P37" t="n">
        <v>2</v>
      </c>
      <c r="Q37" t="n">
        <v>7</v>
      </c>
      <c r="R37" s="2" t="inlineStr">
        <is>
          <t>Doftticka
Knärot
Garnlav
Granticka
Lunglav
Tretåig hackspett
Ullticka</t>
        </is>
      </c>
      <c r="S37">
        <f>HYPERLINK("https://klasma.github.io/Logging_2481/artfynd/A 50008-2020 artfynd.xlsx", "A 50008-2020")</f>
        <v/>
      </c>
      <c r="T37">
        <f>HYPERLINK("https://klasma.github.io/Logging_2481/kartor/A 50008-2020 karta.png", "A 50008-2020")</f>
        <v/>
      </c>
      <c r="U37">
        <f>HYPERLINK("https://klasma.github.io/Logging_2481/knärot/A 50008-2020 karta knärot.png", "A 50008-2020")</f>
        <v/>
      </c>
      <c r="V37">
        <f>HYPERLINK("https://klasma.github.io/Logging_2481/klagomål/A 50008-2020 FSC-klagomål.docx", "A 50008-2020")</f>
        <v/>
      </c>
      <c r="W37">
        <f>HYPERLINK("https://klasma.github.io/Logging_2481/klagomålsmail/A 50008-2020 FSC-klagomål mail.docx", "A 50008-2020")</f>
        <v/>
      </c>
      <c r="X37">
        <f>HYPERLINK("https://klasma.github.io/Logging_2481/tillsyn/A 50008-2020 tillsynsbegäran.docx", "A 50008-2020")</f>
        <v/>
      </c>
      <c r="Y37">
        <f>HYPERLINK("https://klasma.github.io/Logging_2481/tillsynsmail/A 50008-2020 tillsynsbegäran mail.docx", "A 50008-2020")</f>
        <v/>
      </c>
      <c r="Z37">
        <f>HYPERLINK("https://klasma.github.io/Logging_2481/fåglar/A 50008-2020 prioriterade fågelarter.docx", "A 50008-2020")</f>
        <v/>
      </c>
    </row>
    <row r="38" ht="15" customHeight="1">
      <c r="A38" t="inlineStr">
        <is>
          <t>A 40101-2022</t>
        </is>
      </c>
      <c r="B38" s="1" t="n">
        <v>44820</v>
      </c>
      <c r="C38" s="1" t="n">
        <v>45831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28.5</v>
      </c>
      <c r="H38" t="n">
        <v>0</v>
      </c>
      <c r="I38" t="n">
        <v>1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Gräddporing
Garnlav
Kolflarnlav
Motaggsvamp
Orange taggsvamp
Skrovellav
Skarp dropptaggsvamp</t>
        </is>
      </c>
      <c r="S38">
        <f>HYPERLINK("https://klasma.github.io/Logging_2481/artfynd/A 40101-2022 artfynd.xlsx", "A 40101-2022")</f>
        <v/>
      </c>
      <c r="T38">
        <f>HYPERLINK("https://klasma.github.io/Logging_2481/kartor/A 40101-2022 karta.png", "A 40101-2022")</f>
        <v/>
      </c>
      <c r="V38">
        <f>HYPERLINK("https://klasma.github.io/Logging_2481/klagomål/A 40101-2022 FSC-klagomål.docx", "A 40101-2022")</f>
        <v/>
      </c>
      <c r="W38">
        <f>HYPERLINK("https://klasma.github.io/Logging_2481/klagomålsmail/A 40101-2022 FSC-klagomål mail.docx", "A 40101-2022")</f>
        <v/>
      </c>
      <c r="X38">
        <f>HYPERLINK("https://klasma.github.io/Logging_2481/tillsyn/A 40101-2022 tillsynsbegäran.docx", "A 40101-2022")</f>
        <v/>
      </c>
      <c r="Y38">
        <f>HYPERLINK("https://klasma.github.io/Logging_2481/tillsynsmail/A 40101-2022 tillsynsbegäran mail.docx", "A 40101-2022")</f>
        <v/>
      </c>
    </row>
    <row r="39" ht="15" customHeight="1">
      <c r="A39" t="inlineStr">
        <is>
          <t>A 24811-2024</t>
        </is>
      </c>
      <c r="B39" s="1" t="n">
        <v>45461</v>
      </c>
      <c r="C39" s="1" t="n">
        <v>45831</v>
      </c>
      <c r="D39" t="inlineStr">
        <is>
          <t>VÄSTERBOTTENS LÄN</t>
        </is>
      </c>
      <c r="E39" t="inlineStr">
        <is>
          <t>LYCKSELE</t>
        </is>
      </c>
      <c r="F39" t="inlineStr">
        <is>
          <t>SCA</t>
        </is>
      </c>
      <c r="G39" t="n">
        <v>3.8</v>
      </c>
      <c r="H39" t="n">
        <v>0</v>
      </c>
      <c r="I39" t="n">
        <v>2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Smalfotad taggsvamp
Blanksvart spiklav
Nordlig nållav
Skrovlig taggsvamp
Svartvit taggsvamp
Dropptaggsvamp
Mörkhövdad spiklav</t>
        </is>
      </c>
      <c r="S39">
        <f>HYPERLINK("https://klasma.github.io/Logging_2481/artfynd/A 24811-2024 artfynd.xlsx", "A 24811-2024")</f>
        <v/>
      </c>
      <c r="T39">
        <f>HYPERLINK("https://klasma.github.io/Logging_2481/kartor/A 24811-2024 karta.png", "A 24811-2024")</f>
        <v/>
      </c>
      <c r="V39">
        <f>HYPERLINK("https://klasma.github.io/Logging_2481/klagomål/A 24811-2024 FSC-klagomål.docx", "A 24811-2024")</f>
        <v/>
      </c>
      <c r="W39">
        <f>HYPERLINK("https://klasma.github.io/Logging_2481/klagomålsmail/A 24811-2024 FSC-klagomål mail.docx", "A 24811-2024")</f>
        <v/>
      </c>
      <c r="X39">
        <f>HYPERLINK("https://klasma.github.io/Logging_2481/tillsyn/A 24811-2024 tillsynsbegäran.docx", "A 24811-2024")</f>
        <v/>
      </c>
      <c r="Y39">
        <f>HYPERLINK("https://klasma.github.io/Logging_2481/tillsynsmail/A 24811-2024 tillsynsbegäran mail.docx", "A 24811-2024")</f>
        <v/>
      </c>
    </row>
    <row r="40" ht="15" customHeight="1">
      <c r="A40" t="inlineStr">
        <is>
          <t>A 36120-2024</t>
        </is>
      </c>
      <c r="B40" s="1" t="n">
        <v>45534</v>
      </c>
      <c r="C40" s="1" t="n">
        <v>45831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4.2</v>
      </c>
      <c r="H40" t="n">
        <v>0</v>
      </c>
      <c r="I40" t="n">
        <v>3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7</v>
      </c>
      <c r="R40" s="2" t="inlineStr">
        <is>
          <t>Rynkskinn
Garnlav
Lunglav
Rosenticka
Blodticka
Dropptaggsvamp
Skarp dropptaggsvamp</t>
        </is>
      </c>
      <c r="S40">
        <f>HYPERLINK("https://klasma.github.io/Logging_2481/artfynd/A 36120-2024 artfynd.xlsx", "A 36120-2024")</f>
        <v/>
      </c>
      <c r="T40">
        <f>HYPERLINK("https://klasma.github.io/Logging_2481/kartor/A 36120-2024 karta.png", "A 36120-2024")</f>
        <v/>
      </c>
      <c r="V40">
        <f>HYPERLINK("https://klasma.github.io/Logging_2481/klagomål/A 36120-2024 FSC-klagomål.docx", "A 36120-2024")</f>
        <v/>
      </c>
      <c r="W40">
        <f>HYPERLINK("https://klasma.github.io/Logging_2481/klagomålsmail/A 36120-2024 FSC-klagomål mail.docx", "A 36120-2024")</f>
        <v/>
      </c>
      <c r="X40">
        <f>HYPERLINK("https://klasma.github.io/Logging_2481/tillsyn/A 36120-2024 tillsynsbegäran.docx", "A 36120-2024")</f>
        <v/>
      </c>
      <c r="Y40">
        <f>HYPERLINK("https://klasma.github.io/Logging_2481/tillsynsmail/A 36120-2024 tillsynsbegäran mail.docx", "A 36120-2024")</f>
        <v/>
      </c>
    </row>
    <row r="41" ht="15" customHeight="1">
      <c r="A41" t="inlineStr">
        <is>
          <t>A 55329-2019</t>
        </is>
      </c>
      <c r="B41" s="1" t="n">
        <v>43756</v>
      </c>
      <c r="C41" s="1" t="n">
        <v>45831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7.4</v>
      </c>
      <c r="H41" t="n">
        <v>3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6</v>
      </c>
      <c r="R41" s="2" t="inlineStr">
        <is>
          <t>Garnlav
Granticka
Spillkråka
Ullticka
Lavskrika
Revlummer</t>
        </is>
      </c>
      <c r="S41">
        <f>HYPERLINK("https://klasma.github.io/Logging_2481/artfynd/A 55329-2019 artfynd.xlsx", "A 55329-2019")</f>
        <v/>
      </c>
      <c r="T41">
        <f>HYPERLINK("https://klasma.github.io/Logging_2481/kartor/A 55329-2019 karta.png", "A 55329-2019")</f>
        <v/>
      </c>
      <c r="V41">
        <f>HYPERLINK("https://klasma.github.io/Logging_2481/klagomål/A 55329-2019 FSC-klagomål.docx", "A 55329-2019")</f>
        <v/>
      </c>
      <c r="W41">
        <f>HYPERLINK("https://klasma.github.io/Logging_2481/klagomålsmail/A 55329-2019 FSC-klagomål mail.docx", "A 55329-2019")</f>
        <v/>
      </c>
      <c r="X41">
        <f>HYPERLINK("https://klasma.github.io/Logging_2481/tillsyn/A 55329-2019 tillsynsbegäran.docx", "A 55329-2019")</f>
        <v/>
      </c>
      <c r="Y41">
        <f>HYPERLINK("https://klasma.github.io/Logging_2481/tillsynsmail/A 55329-2019 tillsynsbegäran mail.docx", "A 55329-2019")</f>
        <v/>
      </c>
      <c r="Z41">
        <f>HYPERLINK("https://klasma.github.io/Logging_2481/fåglar/A 55329-2019 prioriterade fågelarter.docx", "A 55329-2019")</f>
        <v/>
      </c>
    </row>
    <row r="42" ht="15" customHeight="1">
      <c r="A42" t="inlineStr">
        <is>
          <t>A 50012-2020</t>
        </is>
      </c>
      <c r="B42" s="1" t="n">
        <v>44109</v>
      </c>
      <c r="C42" s="1" t="n">
        <v>45831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5.7</v>
      </c>
      <c r="H42" t="n">
        <v>2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6</v>
      </c>
      <c r="R42" s="2" t="inlineStr">
        <is>
          <t>Garnlav
Lunglav
Luddlav
Stuplav
Fläcknycklar
Revlummer</t>
        </is>
      </c>
      <c r="S42">
        <f>HYPERLINK("https://klasma.github.io/Logging_2481/artfynd/A 50012-2020 artfynd.xlsx", "A 50012-2020")</f>
        <v/>
      </c>
      <c r="T42">
        <f>HYPERLINK("https://klasma.github.io/Logging_2481/kartor/A 50012-2020 karta.png", "A 50012-2020")</f>
        <v/>
      </c>
      <c r="V42">
        <f>HYPERLINK("https://klasma.github.io/Logging_2481/klagomål/A 50012-2020 FSC-klagomål.docx", "A 50012-2020")</f>
        <v/>
      </c>
      <c r="W42">
        <f>HYPERLINK("https://klasma.github.io/Logging_2481/klagomålsmail/A 50012-2020 FSC-klagomål mail.docx", "A 50012-2020")</f>
        <v/>
      </c>
      <c r="X42">
        <f>HYPERLINK("https://klasma.github.io/Logging_2481/tillsyn/A 50012-2020 tillsynsbegäran.docx", "A 50012-2020")</f>
        <v/>
      </c>
      <c r="Y42">
        <f>HYPERLINK("https://klasma.github.io/Logging_2481/tillsynsmail/A 50012-2020 tillsynsbegäran mail.docx", "A 50012-2020")</f>
        <v/>
      </c>
    </row>
    <row r="43" ht="15" customHeight="1">
      <c r="A43" t="inlineStr">
        <is>
          <t>A 31722-2022</t>
        </is>
      </c>
      <c r="B43" s="1" t="n">
        <v>44776</v>
      </c>
      <c r="C43" s="1" t="n">
        <v>45831</v>
      </c>
      <c r="D43" t="inlineStr">
        <is>
          <t>VÄSTERBOTTENS LÄN</t>
        </is>
      </c>
      <c r="E43" t="inlineStr">
        <is>
          <t>LYCKSELE</t>
        </is>
      </c>
      <c r="G43" t="n">
        <v>11.2</v>
      </c>
      <c r="H43" t="n">
        <v>1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Gammelgransskål
Garnlav
Gränsticka
Ullticka
Vitgrynig nållav
Fläcknycklar</t>
        </is>
      </c>
      <c r="S43">
        <f>HYPERLINK("https://klasma.github.io/Logging_2481/artfynd/A 31722-2022 artfynd.xlsx", "A 31722-2022")</f>
        <v/>
      </c>
      <c r="T43">
        <f>HYPERLINK("https://klasma.github.io/Logging_2481/kartor/A 31722-2022 karta.png", "A 31722-2022")</f>
        <v/>
      </c>
      <c r="V43">
        <f>HYPERLINK("https://klasma.github.io/Logging_2481/klagomål/A 31722-2022 FSC-klagomål.docx", "A 31722-2022")</f>
        <v/>
      </c>
      <c r="W43">
        <f>HYPERLINK("https://klasma.github.io/Logging_2481/klagomålsmail/A 31722-2022 FSC-klagomål mail.docx", "A 31722-2022")</f>
        <v/>
      </c>
      <c r="X43">
        <f>HYPERLINK("https://klasma.github.io/Logging_2481/tillsyn/A 31722-2022 tillsynsbegäran.docx", "A 31722-2022")</f>
        <v/>
      </c>
      <c r="Y43">
        <f>HYPERLINK("https://klasma.github.io/Logging_2481/tillsynsmail/A 31722-2022 tillsynsbegäran mail.docx", "A 31722-2022")</f>
        <v/>
      </c>
    </row>
    <row r="44" ht="15" customHeight="1">
      <c r="A44" t="inlineStr">
        <is>
          <t>A 11189-2023</t>
        </is>
      </c>
      <c r="B44" s="1" t="n">
        <v>44987</v>
      </c>
      <c r="C44" s="1" t="n">
        <v>45831</v>
      </c>
      <c r="D44" t="inlineStr">
        <is>
          <t>VÄSTERBOTTENS LÄN</t>
        </is>
      </c>
      <c r="E44" t="inlineStr">
        <is>
          <t>LYCKSELE</t>
        </is>
      </c>
      <c r="G44" t="n">
        <v>1.3</v>
      </c>
      <c r="H44" t="n">
        <v>2</v>
      </c>
      <c r="I44" t="n">
        <v>2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Gammelgransskål
Spillkråka
Svart taggsvamp
Vitgrynig nållav
Dropptaggsvamp
Plattlummer</t>
        </is>
      </c>
      <c r="S44">
        <f>HYPERLINK("https://klasma.github.io/Logging_2481/artfynd/A 11189-2023 artfynd.xlsx", "A 11189-2023")</f>
        <v/>
      </c>
      <c r="T44">
        <f>HYPERLINK("https://klasma.github.io/Logging_2481/kartor/A 11189-2023 karta.png", "A 11189-2023")</f>
        <v/>
      </c>
      <c r="V44">
        <f>HYPERLINK("https://klasma.github.io/Logging_2481/klagomål/A 11189-2023 FSC-klagomål.docx", "A 11189-2023")</f>
        <v/>
      </c>
      <c r="W44">
        <f>HYPERLINK("https://klasma.github.io/Logging_2481/klagomålsmail/A 11189-2023 FSC-klagomål mail.docx", "A 11189-2023")</f>
        <v/>
      </c>
      <c r="X44">
        <f>HYPERLINK("https://klasma.github.io/Logging_2481/tillsyn/A 11189-2023 tillsynsbegäran.docx", "A 11189-2023")</f>
        <v/>
      </c>
      <c r="Y44">
        <f>HYPERLINK("https://klasma.github.io/Logging_2481/tillsynsmail/A 11189-2023 tillsynsbegäran mail.docx", "A 11189-2023")</f>
        <v/>
      </c>
      <c r="Z44">
        <f>HYPERLINK("https://klasma.github.io/Logging_2481/fåglar/A 11189-2023 prioriterade fågelarter.docx", "A 11189-2023")</f>
        <v/>
      </c>
    </row>
    <row r="45" ht="15" customHeight="1">
      <c r="A45" t="inlineStr">
        <is>
          <t>A 33589-2024</t>
        </is>
      </c>
      <c r="B45" s="1" t="n">
        <v>45520</v>
      </c>
      <c r="C45" s="1" t="n">
        <v>45831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3.5</v>
      </c>
      <c r="H45" t="n">
        <v>3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Granticka
Spillkråka
Ullticka
Lavskrika
Revlummer</t>
        </is>
      </c>
      <c r="S45">
        <f>HYPERLINK("https://klasma.github.io/Logging_2481/artfynd/A 33589-2024 artfynd.xlsx", "A 33589-2024")</f>
        <v/>
      </c>
      <c r="T45">
        <f>HYPERLINK("https://klasma.github.io/Logging_2481/kartor/A 33589-2024 karta.png", "A 33589-2024")</f>
        <v/>
      </c>
      <c r="V45">
        <f>HYPERLINK("https://klasma.github.io/Logging_2481/klagomål/A 33589-2024 FSC-klagomål.docx", "A 33589-2024")</f>
        <v/>
      </c>
      <c r="W45">
        <f>HYPERLINK("https://klasma.github.io/Logging_2481/klagomålsmail/A 33589-2024 FSC-klagomål mail.docx", "A 33589-2024")</f>
        <v/>
      </c>
      <c r="X45">
        <f>HYPERLINK("https://klasma.github.io/Logging_2481/tillsyn/A 33589-2024 tillsynsbegäran.docx", "A 33589-2024")</f>
        <v/>
      </c>
      <c r="Y45">
        <f>HYPERLINK("https://klasma.github.io/Logging_2481/tillsynsmail/A 33589-2024 tillsynsbegäran mail.docx", "A 33589-2024")</f>
        <v/>
      </c>
      <c r="Z45">
        <f>HYPERLINK("https://klasma.github.io/Logging_2481/fåglar/A 33589-2024 prioriterade fågelarter.docx", "A 33589-2024")</f>
        <v/>
      </c>
    </row>
    <row r="46" ht="15" customHeight="1">
      <c r="A46" t="inlineStr">
        <is>
          <t>A 44293-2024</t>
        </is>
      </c>
      <c r="B46" s="1" t="n">
        <v>45573</v>
      </c>
      <c r="C46" s="1" t="n">
        <v>45831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15.4</v>
      </c>
      <c r="H46" t="n">
        <v>0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6</v>
      </c>
      <c r="R46" s="2" t="inlineStr">
        <is>
          <t>Blå taggsvamp
Kolflarnlav
Mörk kolflarnlav
Orange taggsvamp
Vedflamlav
Dropptaggsvamp</t>
        </is>
      </c>
      <c r="S46">
        <f>HYPERLINK("https://klasma.github.io/Logging_2481/artfynd/A 44293-2024 artfynd.xlsx", "A 44293-2024")</f>
        <v/>
      </c>
      <c r="T46">
        <f>HYPERLINK("https://klasma.github.io/Logging_2481/kartor/A 44293-2024 karta.png", "A 44293-2024")</f>
        <v/>
      </c>
      <c r="V46">
        <f>HYPERLINK("https://klasma.github.io/Logging_2481/klagomål/A 44293-2024 FSC-klagomål.docx", "A 44293-2024")</f>
        <v/>
      </c>
      <c r="W46">
        <f>HYPERLINK("https://klasma.github.io/Logging_2481/klagomålsmail/A 44293-2024 FSC-klagomål mail.docx", "A 44293-2024")</f>
        <v/>
      </c>
      <c r="X46">
        <f>HYPERLINK("https://klasma.github.io/Logging_2481/tillsyn/A 44293-2024 tillsynsbegäran.docx", "A 44293-2024")</f>
        <v/>
      </c>
      <c r="Y46">
        <f>HYPERLINK("https://klasma.github.io/Logging_2481/tillsynsmail/A 44293-2024 tillsynsbegäran mail.docx", "A 44293-2024")</f>
        <v/>
      </c>
    </row>
    <row r="47" ht="15" customHeight="1">
      <c r="A47" t="inlineStr">
        <is>
          <t>A 55889-2020</t>
        </is>
      </c>
      <c r="B47" s="1" t="n">
        <v>44132</v>
      </c>
      <c r="C47" s="1" t="n">
        <v>45831</v>
      </c>
      <c r="D47" t="inlineStr">
        <is>
          <t>VÄSTERBOTTENS LÄN</t>
        </is>
      </c>
      <c r="E47" t="inlineStr">
        <is>
          <t>LYCKSELE</t>
        </is>
      </c>
      <c r="F47" t="inlineStr">
        <is>
          <t>Holmen skog AB</t>
        </is>
      </c>
      <c r="G47" t="n">
        <v>11.3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Garnlav
Granticka
Harticka
Tretåig hackspett
Vitgrynig nållav</t>
        </is>
      </c>
      <c r="S47">
        <f>HYPERLINK("https://klasma.github.io/Logging_2481/artfynd/A 55889-2020 artfynd.xlsx", "A 55889-2020")</f>
        <v/>
      </c>
      <c r="T47">
        <f>HYPERLINK("https://klasma.github.io/Logging_2481/kartor/A 55889-2020 karta.png", "A 55889-2020")</f>
        <v/>
      </c>
      <c r="V47">
        <f>HYPERLINK("https://klasma.github.io/Logging_2481/klagomål/A 55889-2020 FSC-klagomål.docx", "A 55889-2020")</f>
        <v/>
      </c>
      <c r="W47">
        <f>HYPERLINK("https://klasma.github.io/Logging_2481/klagomålsmail/A 55889-2020 FSC-klagomål mail.docx", "A 55889-2020")</f>
        <v/>
      </c>
      <c r="X47">
        <f>HYPERLINK("https://klasma.github.io/Logging_2481/tillsyn/A 55889-2020 tillsynsbegäran.docx", "A 55889-2020")</f>
        <v/>
      </c>
      <c r="Y47">
        <f>HYPERLINK("https://klasma.github.io/Logging_2481/tillsynsmail/A 55889-2020 tillsynsbegäran mail.docx", "A 55889-2020")</f>
        <v/>
      </c>
      <c r="Z47">
        <f>HYPERLINK("https://klasma.github.io/Logging_2481/fåglar/A 55889-2020 prioriterade fågelarter.docx", "A 55889-2020")</f>
        <v/>
      </c>
    </row>
    <row r="48" ht="15" customHeight="1">
      <c r="A48" t="inlineStr">
        <is>
          <t>A 39032-2021</t>
        </is>
      </c>
      <c r="B48" s="1" t="n">
        <v>44412</v>
      </c>
      <c r="C48" s="1" t="n">
        <v>45831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9.300000000000001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Dvärgbägarlav
Skrovlig taggsvamp
Talltaggsvamp
Vaddporing
Dropptaggsvamp</t>
        </is>
      </c>
      <c r="S48">
        <f>HYPERLINK("https://klasma.github.io/Logging_2481/artfynd/A 39032-2021 artfynd.xlsx", "A 39032-2021")</f>
        <v/>
      </c>
      <c r="T48">
        <f>HYPERLINK("https://klasma.github.io/Logging_2481/kartor/A 39032-2021 karta.png", "A 39032-2021")</f>
        <v/>
      </c>
      <c r="V48">
        <f>HYPERLINK("https://klasma.github.io/Logging_2481/klagomål/A 39032-2021 FSC-klagomål.docx", "A 39032-2021")</f>
        <v/>
      </c>
      <c r="W48">
        <f>HYPERLINK("https://klasma.github.io/Logging_2481/klagomålsmail/A 39032-2021 FSC-klagomål mail.docx", "A 39032-2021")</f>
        <v/>
      </c>
      <c r="X48">
        <f>HYPERLINK("https://klasma.github.io/Logging_2481/tillsyn/A 39032-2021 tillsynsbegäran.docx", "A 39032-2021")</f>
        <v/>
      </c>
      <c r="Y48">
        <f>HYPERLINK("https://klasma.github.io/Logging_2481/tillsynsmail/A 39032-2021 tillsynsbegäran mail.docx", "A 39032-2021")</f>
        <v/>
      </c>
    </row>
    <row r="49" ht="15" customHeight="1">
      <c r="A49" t="inlineStr">
        <is>
          <t>A 59920-2021</t>
        </is>
      </c>
      <c r="B49" s="1" t="n">
        <v>44494</v>
      </c>
      <c r="C49" s="1" t="n">
        <v>45831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4.5</v>
      </c>
      <c r="H49" t="n">
        <v>1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Gammelgransskål
Garnlav
Ullticka
Bronshjon
Orre</t>
        </is>
      </c>
      <c r="S49">
        <f>HYPERLINK("https://klasma.github.io/Logging_2481/artfynd/A 59920-2021 artfynd.xlsx", "A 59920-2021")</f>
        <v/>
      </c>
      <c r="T49">
        <f>HYPERLINK("https://klasma.github.io/Logging_2481/kartor/A 59920-2021 karta.png", "A 59920-2021")</f>
        <v/>
      </c>
      <c r="V49">
        <f>HYPERLINK("https://klasma.github.io/Logging_2481/klagomål/A 59920-2021 FSC-klagomål.docx", "A 59920-2021")</f>
        <v/>
      </c>
      <c r="W49">
        <f>HYPERLINK("https://klasma.github.io/Logging_2481/klagomålsmail/A 59920-2021 FSC-klagomål mail.docx", "A 59920-2021")</f>
        <v/>
      </c>
      <c r="X49">
        <f>HYPERLINK("https://klasma.github.io/Logging_2481/tillsyn/A 59920-2021 tillsynsbegäran.docx", "A 59920-2021")</f>
        <v/>
      </c>
      <c r="Y49">
        <f>HYPERLINK("https://klasma.github.io/Logging_2481/tillsynsmail/A 59920-2021 tillsynsbegäran mail.docx", "A 59920-2021")</f>
        <v/>
      </c>
      <c r="Z49">
        <f>HYPERLINK("https://klasma.github.io/Logging_2481/fåglar/A 59920-2021 prioriterade fågelarter.docx", "A 59920-2021")</f>
        <v/>
      </c>
    </row>
    <row r="50" ht="15" customHeight="1">
      <c r="A50" t="inlineStr">
        <is>
          <t>A 7976-2022</t>
        </is>
      </c>
      <c r="B50" s="1" t="n">
        <v>44609</v>
      </c>
      <c r="C50" s="1" t="n">
        <v>45831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5.4</v>
      </c>
      <c r="H50" t="n">
        <v>0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Lunglav
Mörk kolflarnlav
Skrovellav
Luddlav</t>
        </is>
      </c>
      <c r="S50">
        <f>HYPERLINK("https://klasma.github.io/Logging_2481/artfynd/A 7976-2022 artfynd.xlsx", "A 7976-2022")</f>
        <v/>
      </c>
      <c r="T50">
        <f>HYPERLINK("https://klasma.github.io/Logging_2481/kartor/A 7976-2022 karta.png", "A 7976-2022")</f>
        <v/>
      </c>
      <c r="V50">
        <f>HYPERLINK("https://klasma.github.io/Logging_2481/klagomål/A 7976-2022 FSC-klagomål.docx", "A 7976-2022")</f>
        <v/>
      </c>
      <c r="W50">
        <f>HYPERLINK("https://klasma.github.io/Logging_2481/klagomålsmail/A 7976-2022 FSC-klagomål mail.docx", "A 7976-2022")</f>
        <v/>
      </c>
      <c r="X50">
        <f>HYPERLINK("https://klasma.github.io/Logging_2481/tillsyn/A 7976-2022 tillsynsbegäran.docx", "A 7976-2022")</f>
        <v/>
      </c>
      <c r="Y50">
        <f>HYPERLINK("https://klasma.github.io/Logging_2481/tillsynsmail/A 7976-2022 tillsynsbegäran mail.docx", "A 7976-2022")</f>
        <v/>
      </c>
    </row>
    <row r="51" ht="15" customHeight="1">
      <c r="A51" t="inlineStr">
        <is>
          <t>A 10345-2023</t>
        </is>
      </c>
      <c r="B51" s="1" t="n">
        <v>44980</v>
      </c>
      <c r="C51" s="1" t="n">
        <v>45831</v>
      </c>
      <c r="D51" t="inlineStr">
        <is>
          <t>VÄSTERBOTTENS LÄN</t>
        </is>
      </c>
      <c r="E51" t="inlineStr">
        <is>
          <t>LYCKSELE</t>
        </is>
      </c>
      <c r="G51" t="n">
        <v>2.3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Blå taggsvamp
Gammelgransskål
Garnlav
Orange taggsvamp
Skarp dropptaggsvamp</t>
        </is>
      </c>
      <c r="S51">
        <f>HYPERLINK("https://klasma.github.io/Logging_2481/artfynd/A 10345-2023 artfynd.xlsx", "A 10345-2023")</f>
        <v/>
      </c>
      <c r="T51">
        <f>HYPERLINK("https://klasma.github.io/Logging_2481/kartor/A 10345-2023 karta.png", "A 10345-2023")</f>
        <v/>
      </c>
      <c r="V51">
        <f>HYPERLINK("https://klasma.github.io/Logging_2481/klagomål/A 10345-2023 FSC-klagomål.docx", "A 10345-2023")</f>
        <v/>
      </c>
      <c r="W51">
        <f>HYPERLINK("https://klasma.github.io/Logging_2481/klagomålsmail/A 10345-2023 FSC-klagomål mail.docx", "A 10345-2023")</f>
        <v/>
      </c>
      <c r="X51">
        <f>HYPERLINK("https://klasma.github.io/Logging_2481/tillsyn/A 10345-2023 tillsynsbegäran.docx", "A 10345-2023")</f>
        <v/>
      </c>
      <c r="Y51">
        <f>HYPERLINK("https://klasma.github.io/Logging_2481/tillsynsmail/A 10345-2023 tillsynsbegäran mail.docx", "A 10345-2023")</f>
        <v/>
      </c>
    </row>
    <row r="52" ht="15" customHeight="1">
      <c r="A52" t="inlineStr">
        <is>
          <t>A 10386-2023</t>
        </is>
      </c>
      <c r="B52" s="1" t="n">
        <v>44981</v>
      </c>
      <c r="C52" s="1" t="n">
        <v>45831</v>
      </c>
      <c r="D52" t="inlineStr">
        <is>
          <t>VÄSTERBOTTENS LÄN</t>
        </is>
      </c>
      <c r="E52" t="inlineStr">
        <is>
          <t>LYCKSELE</t>
        </is>
      </c>
      <c r="G52" t="n">
        <v>1.1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Garnlav
Rosenticka
Dropptaggsvamp
Norrlandslav
Tjäder</t>
        </is>
      </c>
      <c r="S52">
        <f>HYPERLINK("https://klasma.github.io/Logging_2481/artfynd/A 10386-2023 artfynd.xlsx", "A 10386-2023")</f>
        <v/>
      </c>
      <c r="T52">
        <f>HYPERLINK("https://klasma.github.io/Logging_2481/kartor/A 10386-2023 karta.png", "A 10386-2023")</f>
        <v/>
      </c>
      <c r="V52">
        <f>HYPERLINK("https://klasma.github.io/Logging_2481/klagomål/A 10386-2023 FSC-klagomål.docx", "A 10386-2023")</f>
        <v/>
      </c>
      <c r="W52">
        <f>HYPERLINK("https://klasma.github.io/Logging_2481/klagomålsmail/A 10386-2023 FSC-klagomål mail.docx", "A 10386-2023")</f>
        <v/>
      </c>
      <c r="X52">
        <f>HYPERLINK("https://klasma.github.io/Logging_2481/tillsyn/A 10386-2023 tillsynsbegäran.docx", "A 10386-2023")</f>
        <v/>
      </c>
      <c r="Y52">
        <f>HYPERLINK("https://klasma.github.io/Logging_2481/tillsynsmail/A 10386-2023 tillsynsbegäran mail.docx", "A 10386-2023")</f>
        <v/>
      </c>
      <c r="Z52">
        <f>HYPERLINK("https://klasma.github.io/Logging_2481/fåglar/A 10386-2023 prioriterade fågelarter.docx", "A 10386-2023")</f>
        <v/>
      </c>
    </row>
    <row r="53" ht="15" customHeight="1">
      <c r="A53" t="inlineStr">
        <is>
          <t>A 58205-2023</t>
        </is>
      </c>
      <c r="B53" s="1" t="n">
        <v>45250</v>
      </c>
      <c r="C53" s="1" t="n">
        <v>45831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3.3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Reliktbock
Tallticka
Varglav
Lavskrika</t>
        </is>
      </c>
      <c r="S53">
        <f>HYPERLINK("https://klasma.github.io/Logging_2481/artfynd/A 58205-2023 artfynd.xlsx", "A 58205-2023")</f>
        <v/>
      </c>
      <c r="T53">
        <f>HYPERLINK("https://klasma.github.io/Logging_2481/kartor/A 58205-2023 karta.png", "A 58205-2023")</f>
        <v/>
      </c>
      <c r="V53">
        <f>HYPERLINK("https://klasma.github.io/Logging_2481/klagomål/A 58205-2023 FSC-klagomål.docx", "A 58205-2023")</f>
        <v/>
      </c>
      <c r="W53">
        <f>HYPERLINK("https://klasma.github.io/Logging_2481/klagomålsmail/A 58205-2023 FSC-klagomål mail.docx", "A 58205-2023")</f>
        <v/>
      </c>
      <c r="X53">
        <f>HYPERLINK("https://klasma.github.io/Logging_2481/tillsyn/A 58205-2023 tillsynsbegäran.docx", "A 58205-2023")</f>
        <v/>
      </c>
      <c r="Y53">
        <f>HYPERLINK("https://klasma.github.io/Logging_2481/tillsynsmail/A 58205-2023 tillsynsbegäran mail.docx", "A 58205-2023")</f>
        <v/>
      </c>
      <c r="Z53">
        <f>HYPERLINK("https://klasma.github.io/Logging_2481/fåglar/A 58205-2023 prioriterade fågelarter.docx", "A 58205-2023")</f>
        <v/>
      </c>
    </row>
    <row r="54" ht="15" customHeight="1">
      <c r="A54" t="inlineStr">
        <is>
          <t>A 58366-2023</t>
        </is>
      </c>
      <c r="B54" s="1" t="n">
        <v>45250</v>
      </c>
      <c r="C54" s="1" t="n">
        <v>45831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7</v>
      </c>
      <c r="H54" t="n">
        <v>1</v>
      </c>
      <c r="I54" t="n">
        <v>1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5</v>
      </c>
      <c r="R54" s="2" t="inlineStr">
        <is>
          <t>Doftticka
Garnlav
Lunglav
Skrovellav
Stuplav</t>
        </is>
      </c>
      <c r="S54">
        <f>HYPERLINK("https://klasma.github.io/Logging_2481/artfynd/A 58366-2023 artfynd.xlsx", "A 58366-2023")</f>
        <v/>
      </c>
      <c r="T54">
        <f>HYPERLINK("https://klasma.github.io/Logging_2481/kartor/A 58366-2023 karta.png", "A 58366-2023")</f>
        <v/>
      </c>
      <c r="V54">
        <f>HYPERLINK("https://klasma.github.io/Logging_2481/klagomål/A 58366-2023 FSC-klagomål.docx", "A 58366-2023")</f>
        <v/>
      </c>
      <c r="W54">
        <f>HYPERLINK("https://klasma.github.io/Logging_2481/klagomålsmail/A 58366-2023 FSC-klagomål mail.docx", "A 58366-2023")</f>
        <v/>
      </c>
      <c r="X54">
        <f>HYPERLINK("https://klasma.github.io/Logging_2481/tillsyn/A 58366-2023 tillsynsbegäran.docx", "A 58366-2023")</f>
        <v/>
      </c>
      <c r="Y54">
        <f>HYPERLINK("https://klasma.github.io/Logging_2481/tillsynsmail/A 58366-2023 tillsynsbegäran mail.docx", "A 58366-2023")</f>
        <v/>
      </c>
    </row>
    <row r="55" ht="15" customHeight="1">
      <c r="A55" t="inlineStr">
        <is>
          <t>A 56000-2024</t>
        </is>
      </c>
      <c r="B55" s="1" t="n">
        <v>45623</v>
      </c>
      <c r="C55" s="1" t="n">
        <v>45831</v>
      </c>
      <c r="D55" t="inlineStr">
        <is>
          <t>VÄSTERBOTTENS LÄN</t>
        </is>
      </c>
      <c r="E55" t="inlineStr">
        <is>
          <t>LYCKSELE</t>
        </is>
      </c>
      <c r="G55" t="n">
        <v>1.4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Rosenticka
Dropptaggsvamp
Norrlandslav
Tjäder</t>
        </is>
      </c>
      <c r="S55">
        <f>HYPERLINK("https://klasma.github.io/Logging_2481/artfynd/A 56000-2024 artfynd.xlsx", "A 56000-2024")</f>
        <v/>
      </c>
      <c r="T55">
        <f>HYPERLINK("https://klasma.github.io/Logging_2481/kartor/A 56000-2024 karta.png", "A 56000-2024")</f>
        <v/>
      </c>
      <c r="V55">
        <f>HYPERLINK("https://klasma.github.io/Logging_2481/klagomål/A 56000-2024 FSC-klagomål.docx", "A 56000-2024")</f>
        <v/>
      </c>
      <c r="W55">
        <f>HYPERLINK("https://klasma.github.io/Logging_2481/klagomålsmail/A 56000-2024 FSC-klagomål mail.docx", "A 56000-2024")</f>
        <v/>
      </c>
      <c r="X55">
        <f>HYPERLINK("https://klasma.github.io/Logging_2481/tillsyn/A 56000-2024 tillsynsbegäran.docx", "A 56000-2024")</f>
        <v/>
      </c>
      <c r="Y55">
        <f>HYPERLINK("https://klasma.github.io/Logging_2481/tillsynsmail/A 56000-2024 tillsynsbegäran mail.docx", "A 56000-2024")</f>
        <v/>
      </c>
      <c r="Z55">
        <f>HYPERLINK("https://klasma.github.io/Logging_2481/fåglar/A 56000-2024 prioriterade fågelarter.docx", "A 56000-2024")</f>
        <v/>
      </c>
    </row>
    <row r="56" ht="15" customHeight="1">
      <c r="A56" t="inlineStr">
        <is>
          <t>A 56053-2024</t>
        </is>
      </c>
      <c r="B56" s="1" t="n">
        <v>45624</v>
      </c>
      <c r="C56" s="1" t="n">
        <v>45831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8.1</v>
      </c>
      <c r="H56" t="n">
        <v>0</v>
      </c>
      <c r="I56" t="n">
        <v>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Granticka
Rosenticka
Vedskivlav
Trådticka
Vedticka</t>
        </is>
      </c>
      <c r="S56">
        <f>HYPERLINK("https://klasma.github.io/Logging_2481/artfynd/A 56053-2024 artfynd.xlsx", "A 56053-2024")</f>
        <v/>
      </c>
      <c r="T56">
        <f>HYPERLINK("https://klasma.github.io/Logging_2481/kartor/A 56053-2024 karta.png", "A 56053-2024")</f>
        <v/>
      </c>
      <c r="V56">
        <f>HYPERLINK("https://klasma.github.io/Logging_2481/klagomål/A 56053-2024 FSC-klagomål.docx", "A 56053-2024")</f>
        <v/>
      </c>
      <c r="W56">
        <f>HYPERLINK("https://klasma.github.io/Logging_2481/klagomålsmail/A 56053-2024 FSC-klagomål mail.docx", "A 56053-2024")</f>
        <v/>
      </c>
      <c r="X56">
        <f>HYPERLINK("https://klasma.github.io/Logging_2481/tillsyn/A 56053-2024 tillsynsbegäran.docx", "A 56053-2024")</f>
        <v/>
      </c>
      <c r="Y56">
        <f>HYPERLINK("https://klasma.github.io/Logging_2481/tillsynsmail/A 56053-2024 tillsynsbegäran mail.docx", "A 56053-2024")</f>
        <v/>
      </c>
    </row>
    <row r="57" ht="15" customHeight="1">
      <c r="A57" t="inlineStr">
        <is>
          <t>A 21509-2025</t>
        </is>
      </c>
      <c r="B57" s="1" t="n">
        <v>45782</v>
      </c>
      <c r="C57" s="1" t="n">
        <v>45831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13.3</v>
      </c>
      <c r="H57" t="n">
        <v>0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Blå taggsvamp
Kolflarnlav
Mörk kolflarnlav
Orange taggsvamp
Skarp dropptaggsvamp</t>
        </is>
      </c>
      <c r="S57">
        <f>HYPERLINK("https://klasma.github.io/Logging_242481/artfynd/A 21509-2025 artfynd.xlsx", "A 21509-2025")</f>
        <v/>
      </c>
      <c r="T57">
        <f>HYPERLINK("https://klasma.github.io/Logging_242481/kartor/A 21509-2025 karta.png", "A 21509-2025")</f>
        <v/>
      </c>
      <c r="V57">
        <f>HYPERLINK("https://klasma.github.io/Logging_242481/klagomål/A 21509-2025 FSC-klagomål.docx", "A 21509-2025")</f>
        <v/>
      </c>
      <c r="W57">
        <f>HYPERLINK("https://klasma.github.io/Logging_242481/klagomålsmail/A 21509-2025 FSC-klagomål mail.docx", "A 21509-2025")</f>
        <v/>
      </c>
      <c r="X57">
        <f>HYPERLINK("https://klasma.github.io/Logging_242481/tillsyn/A 21509-2025 tillsynsbegäran.docx", "A 21509-2025")</f>
        <v/>
      </c>
      <c r="Y57">
        <f>HYPERLINK("https://klasma.github.io/Logging_242481/tillsynsmail/A 21509-2025 tillsynsbegäran mail.docx", "A 21509-2025")</f>
        <v/>
      </c>
    </row>
    <row r="58" ht="15" customHeight="1">
      <c r="A58" t="inlineStr">
        <is>
          <t>A 23310-2025</t>
        </is>
      </c>
      <c r="B58" s="1" t="n">
        <v>45791</v>
      </c>
      <c r="C58" s="1" t="n">
        <v>45831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12</v>
      </c>
      <c r="H58" t="n">
        <v>0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Blå taggsvamp
Kolflarnlav
Mörk kolflarnlav
Orange taggsvamp
Dropptaggsvamp</t>
        </is>
      </c>
      <c r="S58">
        <f>HYPERLINK("https://klasma.github.io/Logging_242481/artfynd/A 23310-2025 artfynd.xlsx", "A 23310-2025")</f>
        <v/>
      </c>
      <c r="T58">
        <f>HYPERLINK("https://klasma.github.io/Logging_242481/kartor/A 23310-2025 karta.png", "A 23310-2025")</f>
        <v/>
      </c>
      <c r="V58">
        <f>HYPERLINK("https://klasma.github.io/Logging_242481/klagomål/A 23310-2025 FSC-klagomål.docx", "A 23310-2025")</f>
        <v/>
      </c>
      <c r="W58">
        <f>HYPERLINK("https://klasma.github.io/Logging_242481/klagomålsmail/A 23310-2025 FSC-klagomål mail.docx", "A 23310-2025")</f>
        <v/>
      </c>
      <c r="X58">
        <f>HYPERLINK("https://klasma.github.io/Logging_242481/tillsyn/A 23310-2025 tillsynsbegäran.docx", "A 23310-2025")</f>
        <v/>
      </c>
      <c r="Y58">
        <f>HYPERLINK("https://klasma.github.io/Logging_242481/tillsynsmail/A 23310-2025 tillsynsbegäran mail.docx", "A 23310-2025")</f>
        <v/>
      </c>
    </row>
    <row r="59" ht="15" customHeight="1">
      <c r="A59" t="inlineStr">
        <is>
          <t>A 36155-2019</t>
        </is>
      </c>
      <c r="B59" s="1" t="n">
        <v>43668</v>
      </c>
      <c r="C59" s="1" t="n">
        <v>45831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18.2</v>
      </c>
      <c r="H59" t="n">
        <v>2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Vedskivlav
Dropptaggsvamp
Plattlummer
Vanlig groda</t>
        </is>
      </c>
      <c r="S59">
        <f>HYPERLINK("https://klasma.github.io/Logging_2481/artfynd/A 36155-2019 artfynd.xlsx", "A 36155-2019")</f>
        <v/>
      </c>
      <c r="T59">
        <f>HYPERLINK("https://klasma.github.io/Logging_2481/kartor/A 36155-2019 karta.png", "A 36155-2019")</f>
        <v/>
      </c>
      <c r="U59">
        <f>HYPERLINK("https://klasma.github.io/Logging_2481/knärot/A 36155-2019 karta knärot.png", "A 36155-2019")</f>
        <v/>
      </c>
      <c r="V59">
        <f>HYPERLINK("https://klasma.github.io/Logging_2481/klagomål/A 36155-2019 FSC-klagomål.docx", "A 36155-2019")</f>
        <v/>
      </c>
      <c r="W59">
        <f>HYPERLINK("https://klasma.github.io/Logging_2481/klagomålsmail/A 36155-2019 FSC-klagomål mail.docx", "A 36155-2019")</f>
        <v/>
      </c>
      <c r="X59">
        <f>HYPERLINK("https://klasma.github.io/Logging_2481/tillsyn/A 36155-2019 tillsynsbegäran.docx", "A 36155-2019")</f>
        <v/>
      </c>
      <c r="Y59">
        <f>HYPERLINK("https://klasma.github.io/Logging_2481/tillsynsmail/A 36155-2019 tillsynsbegäran mail.docx", "A 36155-2019")</f>
        <v/>
      </c>
    </row>
    <row r="60" ht="15" customHeight="1">
      <c r="A60" t="inlineStr">
        <is>
          <t>A 43740-2021</t>
        </is>
      </c>
      <c r="B60" s="1" t="n">
        <v>44433</v>
      </c>
      <c r="C60" s="1" t="n">
        <v>45831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Garnlav
Kolflarnlav
Lunglav
Bårdlav</t>
        </is>
      </c>
      <c r="S60">
        <f>HYPERLINK("https://klasma.github.io/Logging_2481/artfynd/A 43740-2021 artfynd.xlsx", "A 43740-2021")</f>
        <v/>
      </c>
      <c r="T60">
        <f>HYPERLINK("https://klasma.github.io/Logging_2481/kartor/A 43740-2021 karta.png", "A 43740-2021")</f>
        <v/>
      </c>
      <c r="V60">
        <f>HYPERLINK("https://klasma.github.io/Logging_2481/klagomål/A 43740-2021 FSC-klagomål.docx", "A 43740-2021")</f>
        <v/>
      </c>
      <c r="W60">
        <f>HYPERLINK("https://klasma.github.io/Logging_2481/klagomålsmail/A 43740-2021 FSC-klagomål mail.docx", "A 43740-2021")</f>
        <v/>
      </c>
      <c r="X60">
        <f>HYPERLINK("https://klasma.github.io/Logging_2481/tillsyn/A 43740-2021 tillsynsbegäran.docx", "A 43740-2021")</f>
        <v/>
      </c>
      <c r="Y60">
        <f>HYPERLINK("https://klasma.github.io/Logging_2481/tillsynsmail/A 43740-2021 tillsynsbegäran mail.docx", "A 43740-2021")</f>
        <v/>
      </c>
    </row>
    <row r="61" ht="15" customHeight="1">
      <c r="A61" t="inlineStr">
        <is>
          <t>A 54434-2021</t>
        </is>
      </c>
      <c r="B61" s="1" t="n">
        <v>44473</v>
      </c>
      <c r="C61" s="1" t="n">
        <v>45831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20.5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Rynkskinn
Doftskinn
Garnlav
Lunglav</t>
        </is>
      </c>
      <c r="S61">
        <f>HYPERLINK("https://klasma.github.io/Logging_2481/artfynd/A 54434-2021 artfynd.xlsx", "A 54434-2021")</f>
        <v/>
      </c>
      <c r="T61">
        <f>HYPERLINK("https://klasma.github.io/Logging_2481/kartor/A 54434-2021 karta.png", "A 54434-2021")</f>
        <v/>
      </c>
      <c r="V61">
        <f>HYPERLINK("https://klasma.github.io/Logging_2481/klagomål/A 54434-2021 FSC-klagomål.docx", "A 54434-2021")</f>
        <v/>
      </c>
      <c r="W61">
        <f>HYPERLINK("https://klasma.github.io/Logging_2481/klagomålsmail/A 54434-2021 FSC-klagomål mail.docx", "A 54434-2021")</f>
        <v/>
      </c>
      <c r="X61">
        <f>HYPERLINK("https://klasma.github.io/Logging_2481/tillsyn/A 54434-2021 tillsynsbegäran.docx", "A 54434-2021")</f>
        <v/>
      </c>
      <c r="Y61">
        <f>HYPERLINK("https://klasma.github.io/Logging_2481/tillsynsmail/A 54434-2021 tillsynsbegäran mail.docx", "A 54434-2021")</f>
        <v/>
      </c>
    </row>
    <row r="62" ht="15" customHeight="1">
      <c r="A62" t="inlineStr">
        <is>
          <t>A 28993-2022</t>
        </is>
      </c>
      <c r="B62" s="1" t="n">
        <v>44749</v>
      </c>
      <c r="C62" s="1" t="n">
        <v>45831</v>
      </c>
      <c r="D62" t="inlineStr">
        <is>
          <t>VÄSTERBOTTENS LÄN</t>
        </is>
      </c>
      <c r="E62" t="inlineStr">
        <is>
          <t>LYCKSELE</t>
        </is>
      </c>
      <c r="F62" t="inlineStr">
        <is>
          <t>Holmen skog AB</t>
        </is>
      </c>
      <c r="G62" t="n">
        <v>6.9</v>
      </c>
      <c r="H62" t="n">
        <v>1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Garnlav
Granticka
Tretåig hackspett
Ullticka</t>
        </is>
      </c>
      <c r="S62">
        <f>HYPERLINK("https://klasma.github.io/Logging_2481/artfynd/A 28993-2022 artfynd.xlsx", "A 28993-2022")</f>
        <v/>
      </c>
      <c r="T62">
        <f>HYPERLINK("https://klasma.github.io/Logging_2481/kartor/A 28993-2022 karta.png", "A 28993-2022")</f>
        <v/>
      </c>
      <c r="V62">
        <f>HYPERLINK("https://klasma.github.io/Logging_2481/klagomål/A 28993-2022 FSC-klagomål.docx", "A 28993-2022")</f>
        <v/>
      </c>
      <c r="W62">
        <f>HYPERLINK("https://klasma.github.io/Logging_2481/klagomålsmail/A 28993-2022 FSC-klagomål mail.docx", "A 28993-2022")</f>
        <v/>
      </c>
      <c r="X62">
        <f>HYPERLINK("https://klasma.github.io/Logging_2481/tillsyn/A 28993-2022 tillsynsbegäran.docx", "A 28993-2022")</f>
        <v/>
      </c>
      <c r="Y62">
        <f>HYPERLINK("https://klasma.github.io/Logging_2481/tillsynsmail/A 28993-2022 tillsynsbegäran mail.docx", "A 28993-2022")</f>
        <v/>
      </c>
      <c r="Z62">
        <f>HYPERLINK("https://klasma.github.io/Logging_2481/fåglar/A 28993-2022 prioriterade fågelarter.docx", "A 28993-2022")</f>
        <v/>
      </c>
    </row>
    <row r="63" ht="15" customHeight="1">
      <c r="A63" t="inlineStr">
        <is>
          <t>A 30296-2022</t>
        </is>
      </c>
      <c r="B63" s="1" t="n">
        <v>44760</v>
      </c>
      <c r="C63" s="1" t="n">
        <v>45831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12.3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Dvärgbägarlav
Kolflarnlav
Lunglav
Stuplav</t>
        </is>
      </c>
      <c r="S63">
        <f>HYPERLINK("https://klasma.github.io/Logging_2481/artfynd/A 30296-2022 artfynd.xlsx", "A 30296-2022")</f>
        <v/>
      </c>
      <c r="T63">
        <f>HYPERLINK("https://klasma.github.io/Logging_2481/kartor/A 30296-2022 karta.png", "A 30296-2022")</f>
        <v/>
      </c>
      <c r="V63">
        <f>HYPERLINK("https://klasma.github.io/Logging_2481/klagomål/A 30296-2022 FSC-klagomål.docx", "A 30296-2022")</f>
        <v/>
      </c>
      <c r="W63">
        <f>HYPERLINK("https://klasma.github.io/Logging_2481/klagomålsmail/A 30296-2022 FSC-klagomål mail.docx", "A 30296-2022")</f>
        <v/>
      </c>
      <c r="X63">
        <f>HYPERLINK("https://klasma.github.io/Logging_2481/tillsyn/A 30296-2022 tillsynsbegäran.docx", "A 30296-2022")</f>
        <v/>
      </c>
      <c r="Y63">
        <f>HYPERLINK("https://klasma.github.io/Logging_2481/tillsynsmail/A 30296-2022 tillsynsbegäran mail.docx", "A 30296-2022")</f>
        <v/>
      </c>
    </row>
    <row r="64" ht="15" customHeight="1">
      <c r="A64" t="inlineStr">
        <is>
          <t>A 2937-2023</t>
        </is>
      </c>
      <c r="B64" s="1" t="n">
        <v>44945</v>
      </c>
      <c r="C64" s="1" t="n">
        <v>45831</v>
      </c>
      <c r="D64" t="inlineStr">
        <is>
          <t>VÄSTERBOTTENS LÄN</t>
        </is>
      </c>
      <c r="E64" t="inlineStr">
        <is>
          <t>LYCKSELE</t>
        </is>
      </c>
      <c r="F64" t="inlineStr">
        <is>
          <t>Kyrkan</t>
        </is>
      </c>
      <c r="G64" t="n">
        <v>17.4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Blå taggsvamp
Lunglav
Orange taggsvamp
Dropptaggsvamp</t>
        </is>
      </c>
      <c r="S64">
        <f>HYPERLINK("https://klasma.github.io/Logging_2481/artfynd/A 2937-2023 artfynd.xlsx", "A 2937-2023")</f>
        <v/>
      </c>
      <c r="T64">
        <f>HYPERLINK("https://klasma.github.io/Logging_2481/kartor/A 2937-2023 karta.png", "A 2937-2023")</f>
        <v/>
      </c>
      <c r="V64">
        <f>HYPERLINK("https://klasma.github.io/Logging_2481/klagomål/A 2937-2023 FSC-klagomål.docx", "A 2937-2023")</f>
        <v/>
      </c>
      <c r="W64">
        <f>HYPERLINK("https://klasma.github.io/Logging_2481/klagomålsmail/A 2937-2023 FSC-klagomål mail.docx", "A 2937-2023")</f>
        <v/>
      </c>
      <c r="X64">
        <f>HYPERLINK("https://klasma.github.io/Logging_2481/tillsyn/A 2937-2023 tillsynsbegäran.docx", "A 2937-2023")</f>
        <v/>
      </c>
      <c r="Y64">
        <f>HYPERLINK("https://klasma.github.io/Logging_2481/tillsynsmail/A 2937-2023 tillsynsbegäran mail.docx", "A 2937-2023")</f>
        <v/>
      </c>
    </row>
    <row r="65" ht="15" customHeight="1">
      <c r="A65" t="inlineStr">
        <is>
          <t>A 21068-2023</t>
        </is>
      </c>
      <c r="B65" s="1" t="n">
        <v>45057</v>
      </c>
      <c r="C65" s="1" t="n">
        <v>45831</v>
      </c>
      <c r="D65" t="inlineStr">
        <is>
          <t>VÄSTERBOTTENS LÄN</t>
        </is>
      </c>
      <c r="E65" t="inlineStr">
        <is>
          <t>LYCKSELE</t>
        </is>
      </c>
      <c r="G65" t="n">
        <v>4.3</v>
      </c>
      <c r="H65" t="n">
        <v>3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Lunglav
Spindelblomster
Fläcknycklar
Revlummer</t>
        </is>
      </c>
      <c r="S65">
        <f>HYPERLINK("https://klasma.github.io/Logging_2481/artfynd/A 21068-2023 artfynd.xlsx", "A 21068-2023")</f>
        <v/>
      </c>
      <c r="T65">
        <f>HYPERLINK("https://klasma.github.io/Logging_2481/kartor/A 21068-2023 karta.png", "A 21068-2023")</f>
        <v/>
      </c>
      <c r="V65">
        <f>HYPERLINK("https://klasma.github.io/Logging_2481/klagomål/A 21068-2023 FSC-klagomål.docx", "A 21068-2023")</f>
        <v/>
      </c>
      <c r="W65">
        <f>HYPERLINK("https://klasma.github.io/Logging_2481/klagomålsmail/A 21068-2023 FSC-klagomål mail.docx", "A 21068-2023")</f>
        <v/>
      </c>
      <c r="X65">
        <f>HYPERLINK("https://klasma.github.io/Logging_2481/tillsyn/A 21068-2023 tillsynsbegäran.docx", "A 21068-2023")</f>
        <v/>
      </c>
      <c r="Y65">
        <f>HYPERLINK("https://klasma.github.io/Logging_2481/tillsynsmail/A 21068-2023 tillsynsbegäran mail.docx", "A 21068-2023")</f>
        <v/>
      </c>
    </row>
    <row r="66" ht="15" customHeight="1">
      <c r="A66" t="inlineStr">
        <is>
          <t>A 36636-2023</t>
        </is>
      </c>
      <c r="B66" s="1" t="n">
        <v>45152</v>
      </c>
      <c r="C66" s="1" t="n">
        <v>45831</v>
      </c>
      <c r="D66" t="inlineStr">
        <is>
          <t>VÄSTERBOTTENS LÄN</t>
        </is>
      </c>
      <c r="E66" t="inlineStr">
        <is>
          <t>LYCKSELE</t>
        </is>
      </c>
      <c r="G66" t="n">
        <v>2.7</v>
      </c>
      <c r="H66" t="n">
        <v>2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Doftticka
Garnlav
Granticka
Spillkråka</t>
        </is>
      </c>
      <c r="S66">
        <f>HYPERLINK("https://klasma.github.io/Logging_2481/artfynd/A 36636-2023 artfynd.xlsx", "A 36636-2023")</f>
        <v/>
      </c>
      <c r="T66">
        <f>HYPERLINK("https://klasma.github.io/Logging_2481/kartor/A 36636-2023 karta.png", "A 36636-2023")</f>
        <v/>
      </c>
      <c r="V66">
        <f>HYPERLINK("https://klasma.github.io/Logging_2481/klagomål/A 36636-2023 FSC-klagomål.docx", "A 36636-2023")</f>
        <v/>
      </c>
      <c r="W66">
        <f>HYPERLINK("https://klasma.github.io/Logging_2481/klagomålsmail/A 36636-2023 FSC-klagomål mail.docx", "A 36636-2023")</f>
        <v/>
      </c>
      <c r="X66">
        <f>HYPERLINK("https://klasma.github.io/Logging_2481/tillsyn/A 36636-2023 tillsynsbegäran.docx", "A 36636-2023")</f>
        <v/>
      </c>
      <c r="Y66">
        <f>HYPERLINK("https://klasma.github.io/Logging_2481/tillsynsmail/A 36636-2023 tillsynsbegäran mail.docx", "A 36636-2023")</f>
        <v/>
      </c>
      <c r="Z66">
        <f>HYPERLINK("https://klasma.github.io/Logging_2481/fåglar/A 36636-2023 prioriterade fågelarter.docx", "A 36636-2023")</f>
        <v/>
      </c>
    </row>
    <row r="67" ht="15" customHeight="1">
      <c r="A67" t="inlineStr">
        <is>
          <t>A 53793-2023</t>
        </is>
      </c>
      <c r="B67" s="1" t="n">
        <v>45231</v>
      </c>
      <c r="C67" s="1" t="n">
        <v>45831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5.7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Blå taggsvamp
Lunglav
Violmussling
Dropptaggsvamp</t>
        </is>
      </c>
      <c r="S67">
        <f>HYPERLINK("https://klasma.github.io/Logging_2481/artfynd/A 53793-2023 artfynd.xlsx", "A 53793-2023")</f>
        <v/>
      </c>
      <c r="T67">
        <f>HYPERLINK("https://klasma.github.io/Logging_2481/kartor/A 53793-2023 karta.png", "A 53793-2023")</f>
        <v/>
      </c>
      <c r="V67">
        <f>HYPERLINK("https://klasma.github.io/Logging_2481/klagomål/A 53793-2023 FSC-klagomål.docx", "A 53793-2023")</f>
        <v/>
      </c>
      <c r="W67">
        <f>HYPERLINK("https://klasma.github.io/Logging_2481/klagomålsmail/A 53793-2023 FSC-klagomål mail.docx", "A 53793-2023")</f>
        <v/>
      </c>
      <c r="X67">
        <f>HYPERLINK("https://klasma.github.io/Logging_2481/tillsyn/A 53793-2023 tillsynsbegäran.docx", "A 53793-2023")</f>
        <v/>
      </c>
      <c r="Y67">
        <f>HYPERLINK("https://klasma.github.io/Logging_2481/tillsynsmail/A 53793-2023 tillsynsbegäran mail.docx", "A 53793-2023")</f>
        <v/>
      </c>
    </row>
    <row r="68" ht="15" customHeight="1">
      <c r="A68" t="inlineStr">
        <is>
          <t>A 23970-2024</t>
        </is>
      </c>
      <c r="B68" s="1" t="n">
        <v>45455</v>
      </c>
      <c r="C68" s="1" t="n">
        <v>45831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23.5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Lunglav
Orange taggsvamp
Dropptaggsvamp
Stuplav</t>
        </is>
      </c>
      <c r="S68">
        <f>HYPERLINK("https://klasma.github.io/Logging_2481/artfynd/A 23970-2024 artfynd.xlsx", "A 23970-2024")</f>
        <v/>
      </c>
      <c r="T68">
        <f>HYPERLINK("https://klasma.github.io/Logging_2481/kartor/A 23970-2024 karta.png", "A 23970-2024")</f>
        <v/>
      </c>
      <c r="V68">
        <f>HYPERLINK("https://klasma.github.io/Logging_2481/klagomål/A 23970-2024 FSC-klagomål.docx", "A 23970-2024")</f>
        <v/>
      </c>
      <c r="W68">
        <f>HYPERLINK("https://klasma.github.io/Logging_2481/klagomålsmail/A 23970-2024 FSC-klagomål mail.docx", "A 23970-2024")</f>
        <v/>
      </c>
      <c r="X68">
        <f>HYPERLINK("https://klasma.github.io/Logging_2481/tillsyn/A 23970-2024 tillsynsbegäran.docx", "A 23970-2024")</f>
        <v/>
      </c>
      <c r="Y68">
        <f>HYPERLINK("https://klasma.github.io/Logging_2481/tillsynsmail/A 23970-2024 tillsynsbegäran mail.docx", "A 23970-2024")</f>
        <v/>
      </c>
    </row>
    <row r="69" ht="15" customHeight="1">
      <c r="A69" t="inlineStr">
        <is>
          <t>A 26961-2024</t>
        </is>
      </c>
      <c r="B69" s="1" t="n">
        <v>45471</v>
      </c>
      <c r="C69" s="1" t="n">
        <v>45831</v>
      </c>
      <c r="D69" t="inlineStr">
        <is>
          <t>VÄSTERBOTTENS LÄN</t>
        </is>
      </c>
      <c r="E69" t="inlineStr">
        <is>
          <t>LYCKSELE</t>
        </is>
      </c>
      <c r="F69" t="inlineStr">
        <is>
          <t>SCA</t>
        </is>
      </c>
      <c r="G69" t="n">
        <v>9.1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Lunglav
Orange taggsvamp
Dropptaggsvamp
Stuplav</t>
        </is>
      </c>
      <c r="S69">
        <f>HYPERLINK("https://klasma.github.io/Logging_2481/artfynd/A 26961-2024 artfynd.xlsx", "A 26961-2024")</f>
        <v/>
      </c>
      <c r="T69">
        <f>HYPERLINK("https://klasma.github.io/Logging_2481/kartor/A 26961-2024 karta.png", "A 26961-2024")</f>
        <v/>
      </c>
      <c r="V69">
        <f>HYPERLINK("https://klasma.github.io/Logging_2481/klagomål/A 26961-2024 FSC-klagomål.docx", "A 26961-2024")</f>
        <v/>
      </c>
      <c r="W69">
        <f>HYPERLINK("https://klasma.github.io/Logging_2481/klagomålsmail/A 26961-2024 FSC-klagomål mail.docx", "A 26961-2024")</f>
        <v/>
      </c>
      <c r="X69">
        <f>HYPERLINK("https://klasma.github.io/Logging_2481/tillsyn/A 26961-2024 tillsynsbegäran.docx", "A 26961-2024")</f>
        <v/>
      </c>
      <c r="Y69">
        <f>HYPERLINK("https://klasma.github.io/Logging_2481/tillsynsmail/A 26961-2024 tillsynsbegäran mail.docx", "A 26961-2024")</f>
        <v/>
      </c>
    </row>
    <row r="70" ht="15" customHeight="1">
      <c r="A70" t="inlineStr">
        <is>
          <t>A 31811-2024</t>
        </is>
      </c>
      <c r="B70" s="1" t="n">
        <v>45509</v>
      </c>
      <c r="C70" s="1" t="n">
        <v>45831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18.2</v>
      </c>
      <c r="H70" t="n">
        <v>2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Vedskivlav
Dropptaggsvamp
Plattlummer
Vanlig groda</t>
        </is>
      </c>
      <c r="S70">
        <f>HYPERLINK("https://klasma.github.io/Logging_2481/artfynd/A 31811-2024 artfynd.xlsx", "A 31811-2024")</f>
        <v/>
      </c>
      <c r="T70">
        <f>HYPERLINK("https://klasma.github.io/Logging_2481/kartor/A 31811-2024 karta.png", "A 31811-2024")</f>
        <v/>
      </c>
      <c r="U70">
        <f>HYPERLINK("https://klasma.github.io/Logging_2481/knärot/A 31811-2024 karta knärot.png", "A 31811-2024")</f>
        <v/>
      </c>
      <c r="V70">
        <f>HYPERLINK("https://klasma.github.io/Logging_2481/klagomål/A 31811-2024 FSC-klagomål.docx", "A 31811-2024")</f>
        <v/>
      </c>
      <c r="W70">
        <f>HYPERLINK("https://klasma.github.io/Logging_2481/klagomålsmail/A 31811-2024 FSC-klagomål mail.docx", "A 31811-2024")</f>
        <v/>
      </c>
      <c r="X70">
        <f>HYPERLINK("https://klasma.github.io/Logging_2481/tillsyn/A 31811-2024 tillsynsbegäran.docx", "A 31811-2024")</f>
        <v/>
      </c>
      <c r="Y70">
        <f>HYPERLINK("https://klasma.github.io/Logging_2481/tillsynsmail/A 31811-2024 tillsynsbegäran mail.docx", "A 31811-2024")</f>
        <v/>
      </c>
    </row>
    <row r="71" ht="15" customHeight="1">
      <c r="A71" t="inlineStr">
        <is>
          <t>A 33586-2024</t>
        </is>
      </c>
      <c r="B71" s="1" t="n">
        <v>45520</v>
      </c>
      <c r="C71" s="1" t="n">
        <v>45831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3.1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Granticka
Mörk kolflarnlav
Ullticka
Luddlav</t>
        </is>
      </c>
      <c r="S71">
        <f>HYPERLINK("https://klasma.github.io/Logging_2481/artfynd/A 33586-2024 artfynd.xlsx", "A 33586-2024")</f>
        <v/>
      </c>
      <c r="T71">
        <f>HYPERLINK("https://klasma.github.io/Logging_2481/kartor/A 33586-2024 karta.png", "A 33586-2024")</f>
        <v/>
      </c>
      <c r="V71">
        <f>HYPERLINK("https://klasma.github.io/Logging_2481/klagomål/A 33586-2024 FSC-klagomål.docx", "A 33586-2024")</f>
        <v/>
      </c>
      <c r="W71">
        <f>HYPERLINK("https://klasma.github.io/Logging_2481/klagomålsmail/A 33586-2024 FSC-klagomål mail.docx", "A 33586-2024")</f>
        <v/>
      </c>
      <c r="X71">
        <f>HYPERLINK("https://klasma.github.io/Logging_2481/tillsyn/A 33586-2024 tillsynsbegäran.docx", "A 33586-2024")</f>
        <v/>
      </c>
      <c r="Y71">
        <f>HYPERLINK("https://klasma.github.io/Logging_2481/tillsynsmail/A 33586-2024 tillsynsbegäran mail.docx", "A 33586-2024")</f>
        <v/>
      </c>
    </row>
    <row r="72" ht="15" customHeight="1">
      <c r="A72" t="inlineStr">
        <is>
          <t>A 35790-2024</t>
        </is>
      </c>
      <c r="B72" s="1" t="n">
        <v>45532</v>
      </c>
      <c r="C72" s="1" t="n">
        <v>45831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4.4</v>
      </c>
      <c r="H72" t="n">
        <v>1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Dvärgbägarlav
Tallriska
Talltita
Äggvaxskivling</t>
        </is>
      </c>
      <c r="S72">
        <f>HYPERLINK("https://klasma.github.io/Logging_2481/artfynd/A 35790-2024 artfynd.xlsx", "A 35790-2024")</f>
        <v/>
      </c>
      <c r="T72">
        <f>HYPERLINK("https://klasma.github.io/Logging_2481/kartor/A 35790-2024 karta.png", "A 35790-2024")</f>
        <v/>
      </c>
      <c r="V72">
        <f>HYPERLINK("https://klasma.github.io/Logging_2481/klagomål/A 35790-2024 FSC-klagomål.docx", "A 35790-2024")</f>
        <v/>
      </c>
      <c r="W72">
        <f>HYPERLINK("https://klasma.github.io/Logging_2481/klagomålsmail/A 35790-2024 FSC-klagomål mail.docx", "A 35790-2024")</f>
        <v/>
      </c>
      <c r="X72">
        <f>HYPERLINK("https://klasma.github.io/Logging_2481/tillsyn/A 35790-2024 tillsynsbegäran.docx", "A 35790-2024")</f>
        <v/>
      </c>
      <c r="Y72">
        <f>HYPERLINK("https://klasma.github.io/Logging_2481/tillsynsmail/A 35790-2024 tillsynsbegäran mail.docx", "A 35790-2024")</f>
        <v/>
      </c>
      <c r="Z72">
        <f>HYPERLINK("https://klasma.github.io/Logging_2481/fåglar/A 35790-2024 prioriterade fågelarter.docx", "A 35790-2024")</f>
        <v/>
      </c>
    </row>
    <row r="73" ht="15" customHeight="1">
      <c r="A73" t="inlineStr">
        <is>
          <t>A 46203-2024</t>
        </is>
      </c>
      <c r="B73" s="1" t="n">
        <v>45581</v>
      </c>
      <c r="C73" s="1" t="n">
        <v>45831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16.9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Mörk kolflarnlav
Orange taggsvamp
Talltaggsvamp
Skarp dropptaggsvamp</t>
        </is>
      </c>
      <c r="S73">
        <f>HYPERLINK("https://klasma.github.io/Logging_2481/artfynd/A 46203-2024 artfynd.xlsx", "A 46203-2024")</f>
        <v/>
      </c>
      <c r="T73">
        <f>HYPERLINK("https://klasma.github.io/Logging_2481/kartor/A 46203-2024 karta.png", "A 46203-2024")</f>
        <v/>
      </c>
      <c r="V73">
        <f>HYPERLINK("https://klasma.github.io/Logging_2481/klagomål/A 46203-2024 FSC-klagomål.docx", "A 46203-2024")</f>
        <v/>
      </c>
      <c r="W73">
        <f>HYPERLINK("https://klasma.github.io/Logging_2481/klagomålsmail/A 46203-2024 FSC-klagomål mail.docx", "A 46203-2024")</f>
        <v/>
      </c>
      <c r="X73">
        <f>HYPERLINK("https://klasma.github.io/Logging_2481/tillsyn/A 46203-2024 tillsynsbegäran.docx", "A 46203-2024")</f>
        <v/>
      </c>
      <c r="Y73">
        <f>HYPERLINK("https://klasma.github.io/Logging_2481/tillsynsmail/A 46203-2024 tillsynsbegäran mail.docx", "A 46203-2024")</f>
        <v/>
      </c>
    </row>
    <row r="74" ht="15" customHeight="1">
      <c r="A74" t="inlineStr">
        <is>
          <t>A 47977-2024</t>
        </is>
      </c>
      <c r="B74" s="1" t="n">
        <v>45589</v>
      </c>
      <c r="C74" s="1" t="n">
        <v>45831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Blå taggsvamp
Kolflarnlav
Orange taggsvamp
Skrovlig taggsvamp</t>
        </is>
      </c>
      <c r="S74">
        <f>HYPERLINK("https://klasma.github.io/Logging_2481/artfynd/A 47977-2024 artfynd.xlsx", "A 47977-2024")</f>
        <v/>
      </c>
      <c r="T74">
        <f>HYPERLINK("https://klasma.github.io/Logging_2481/kartor/A 47977-2024 karta.png", "A 47977-2024")</f>
        <v/>
      </c>
      <c r="V74">
        <f>HYPERLINK("https://klasma.github.io/Logging_2481/klagomål/A 47977-2024 FSC-klagomål.docx", "A 47977-2024")</f>
        <v/>
      </c>
      <c r="W74">
        <f>HYPERLINK("https://klasma.github.io/Logging_2481/klagomålsmail/A 47977-2024 FSC-klagomål mail.docx", "A 47977-2024")</f>
        <v/>
      </c>
      <c r="X74">
        <f>HYPERLINK("https://klasma.github.io/Logging_2481/tillsyn/A 47977-2024 tillsynsbegäran.docx", "A 47977-2024")</f>
        <v/>
      </c>
      <c r="Y74">
        <f>HYPERLINK("https://klasma.github.io/Logging_2481/tillsynsmail/A 47977-2024 tillsynsbegäran mail.docx", "A 47977-2024")</f>
        <v/>
      </c>
    </row>
    <row r="75" ht="15" customHeight="1">
      <c r="A75" t="inlineStr">
        <is>
          <t>A 52891-2024</t>
        </is>
      </c>
      <c r="B75" s="1" t="n">
        <v>45610</v>
      </c>
      <c r="C75" s="1" t="n">
        <v>45831</v>
      </c>
      <c r="D75" t="inlineStr">
        <is>
          <t>VÄSTERBOTTENS LÄN</t>
        </is>
      </c>
      <c r="E75" t="inlineStr">
        <is>
          <t>LYCKSELE</t>
        </is>
      </c>
      <c r="F75" t="inlineStr">
        <is>
          <t>Holmen skog AB</t>
        </is>
      </c>
      <c r="G75" t="n">
        <v>5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Granticka
Lunglav
Bårdlav</t>
        </is>
      </c>
      <c r="S75">
        <f>HYPERLINK("https://klasma.github.io/Logging_2481/artfynd/A 52891-2024 artfynd.xlsx", "A 52891-2024")</f>
        <v/>
      </c>
      <c r="T75">
        <f>HYPERLINK("https://klasma.github.io/Logging_2481/kartor/A 52891-2024 karta.png", "A 52891-2024")</f>
        <v/>
      </c>
      <c r="V75">
        <f>HYPERLINK("https://klasma.github.io/Logging_2481/klagomål/A 52891-2024 FSC-klagomål.docx", "A 52891-2024")</f>
        <v/>
      </c>
      <c r="W75">
        <f>HYPERLINK("https://klasma.github.io/Logging_2481/klagomålsmail/A 52891-2024 FSC-klagomål mail.docx", "A 52891-2024")</f>
        <v/>
      </c>
      <c r="X75">
        <f>HYPERLINK("https://klasma.github.io/Logging_2481/tillsyn/A 52891-2024 tillsynsbegäran.docx", "A 52891-2024")</f>
        <v/>
      </c>
      <c r="Y75">
        <f>HYPERLINK("https://klasma.github.io/Logging_2481/tillsynsmail/A 52891-2024 tillsynsbegäran mail.docx", "A 52891-2024")</f>
        <v/>
      </c>
    </row>
    <row r="76" ht="15" customHeight="1">
      <c r="A76" t="inlineStr">
        <is>
          <t>A 53094-2024</t>
        </is>
      </c>
      <c r="B76" s="1" t="n">
        <v>45611</v>
      </c>
      <c r="C76" s="1" t="n">
        <v>45831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5.4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Blå taggsvamp
Kolflarnlav
Lunglav
Motaggsvamp</t>
        </is>
      </c>
      <c r="S76">
        <f>HYPERLINK("https://klasma.github.io/Logging_2481/artfynd/A 53094-2024 artfynd.xlsx", "A 53094-2024")</f>
        <v/>
      </c>
      <c r="T76">
        <f>HYPERLINK("https://klasma.github.io/Logging_2481/kartor/A 53094-2024 karta.png", "A 53094-2024")</f>
        <v/>
      </c>
      <c r="V76">
        <f>HYPERLINK("https://klasma.github.io/Logging_2481/klagomål/A 53094-2024 FSC-klagomål.docx", "A 53094-2024")</f>
        <v/>
      </c>
      <c r="W76">
        <f>HYPERLINK("https://klasma.github.io/Logging_2481/klagomålsmail/A 53094-2024 FSC-klagomål mail.docx", "A 53094-2024")</f>
        <v/>
      </c>
      <c r="X76">
        <f>HYPERLINK("https://klasma.github.io/Logging_2481/tillsyn/A 53094-2024 tillsynsbegäran.docx", "A 53094-2024")</f>
        <v/>
      </c>
      <c r="Y76">
        <f>HYPERLINK("https://klasma.github.io/Logging_2481/tillsynsmail/A 53094-2024 tillsynsbegäran mail.docx", "A 53094-2024")</f>
        <v/>
      </c>
    </row>
    <row r="77" ht="15" customHeight="1">
      <c r="A77" t="inlineStr">
        <is>
          <t>A 54905-2024</t>
        </is>
      </c>
      <c r="B77" s="1" t="n">
        <v>45618</v>
      </c>
      <c r="C77" s="1" t="n">
        <v>45831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2.2</v>
      </c>
      <c r="H77" t="n">
        <v>0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Fläckporing
Garnlav
Kolflarnlav
Dropptaggsvamp</t>
        </is>
      </c>
      <c r="S77">
        <f>HYPERLINK("https://klasma.github.io/Logging_2481/artfynd/A 54905-2024 artfynd.xlsx", "A 54905-2024")</f>
        <v/>
      </c>
      <c r="T77">
        <f>HYPERLINK("https://klasma.github.io/Logging_2481/kartor/A 54905-2024 karta.png", "A 54905-2024")</f>
        <v/>
      </c>
      <c r="V77">
        <f>HYPERLINK("https://klasma.github.io/Logging_2481/klagomål/A 54905-2024 FSC-klagomål.docx", "A 54905-2024")</f>
        <v/>
      </c>
      <c r="W77">
        <f>HYPERLINK("https://klasma.github.io/Logging_2481/klagomålsmail/A 54905-2024 FSC-klagomål mail.docx", "A 54905-2024")</f>
        <v/>
      </c>
      <c r="X77">
        <f>HYPERLINK("https://klasma.github.io/Logging_2481/tillsyn/A 54905-2024 tillsynsbegäran.docx", "A 54905-2024")</f>
        <v/>
      </c>
      <c r="Y77">
        <f>HYPERLINK("https://klasma.github.io/Logging_2481/tillsynsmail/A 54905-2024 tillsynsbegäran mail.docx", "A 54905-2024")</f>
        <v/>
      </c>
    </row>
    <row r="78" ht="15" customHeight="1">
      <c r="A78" t="inlineStr">
        <is>
          <t>A 55825-2024</t>
        </is>
      </c>
      <c r="B78" s="1" t="n">
        <v>45623</v>
      </c>
      <c r="C78" s="1" t="n">
        <v>45831</v>
      </c>
      <c r="D78" t="inlineStr">
        <is>
          <t>VÄSTERBOTTENS LÄN</t>
        </is>
      </c>
      <c r="E78" t="inlineStr">
        <is>
          <t>LYCKSELE</t>
        </is>
      </c>
      <c r="G78" t="n">
        <v>7.1</v>
      </c>
      <c r="H78" t="n">
        <v>3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Kolflarnlav
Spillkråka
Tretåig hackspett
Revlummer</t>
        </is>
      </c>
      <c r="S78">
        <f>HYPERLINK("https://klasma.github.io/Logging_2481/artfynd/A 55825-2024 artfynd.xlsx", "A 55825-2024")</f>
        <v/>
      </c>
      <c r="T78">
        <f>HYPERLINK("https://klasma.github.io/Logging_2481/kartor/A 55825-2024 karta.png", "A 55825-2024")</f>
        <v/>
      </c>
      <c r="V78">
        <f>HYPERLINK("https://klasma.github.io/Logging_2481/klagomål/A 55825-2024 FSC-klagomål.docx", "A 55825-2024")</f>
        <v/>
      </c>
      <c r="W78">
        <f>HYPERLINK("https://klasma.github.io/Logging_2481/klagomålsmail/A 55825-2024 FSC-klagomål mail.docx", "A 55825-2024")</f>
        <v/>
      </c>
      <c r="X78">
        <f>HYPERLINK("https://klasma.github.io/Logging_2481/tillsyn/A 55825-2024 tillsynsbegäran.docx", "A 55825-2024")</f>
        <v/>
      </c>
      <c r="Y78">
        <f>HYPERLINK("https://klasma.github.io/Logging_2481/tillsynsmail/A 55825-2024 tillsynsbegäran mail.docx", "A 55825-2024")</f>
        <v/>
      </c>
      <c r="Z78">
        <f>HYPERLINK("https://klasma.github.io/Logging_2481/fåglar/A 55825-2024 prioriterade fågelarter.docx", "A 55825-2024")</f>
        <v/>
      </c>
    </row>
    <row r="79" ht="15" customHeight="1">
      <c r="A79" t="inlineStr">
        <is>
          <t>A 27068-2025</t>
        </is>
      </c>
      <c r="B79" s="1" t="n">
        <v>45811</v>
      </c>
      <c r="C79" s="1" t="n">
        <v>45831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3.3</v>
      </c>
      <c r="H79" t="n">
        <v>0</v>
      </c>
      <c r="I79" t="n">
        <v>1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Blå taggsvamp
Kolflarnlav
Motaggsvamp
Dropptaggsvamp</t>
        </is>
      </c>
      <c r="S79">
        <f>HYPERLINK("https://klasma.github.io/Logging_242481/artfynd/A 27068-2025 artfynd.xlsx", "A 27068-2025")</f>
        <v/>
      </c>
      <c r="T79">
        <f>HYPERLINK("https://klasma.github.io/Logging_242481/kartor/A 27068-2025 karta.png", "A 27068-2025")</f>
        <v/>
      </c>
      <c r="V79">
        <f>HYPERLINK("https://klasma.github.io/Logging_242481/klagomål/A 27068-2025 FSC-klagomål.docx", "A 27068-2025")</f>
        <v/>
      </c>
      <c r="W79">
        <f>HYPERLINK("https://klasma.github.io/Logging_242481/klagomålsmail/A 27068-2025 FSC-klagomål mail.docx", "A 27068-2025")</f>
        <v/>
      </c>
      <c r="X79">
        <f>HYPERLINK("https://klasma.github.io/Logging_242481/tillsyn/A 27068-2025 tillsynsbegäran.docx", "A 27068-2025")</f>
        <v/>
      </c>
      <c r="Y79">
        <f>HYPERLINK("https://klasma.github.io/Logging_242481/tillsynsmail/A 27068-2025 tillsynsbegäran mail.docx", "A 27068-2025")</f>
        <v/>
      </c>
    </row>
    <row r="80" ht="15" customHeight="1">
      <c r="A80" t="inlineStr">
        <is>
          <t>A 30414-2025</t>
        </is>
      </c>
      <c r="B80" s="1" t="n">
        <v>45827</v>
      </c>
      <c r="C80" s="1" t="n">
        <v>45831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17</v>
      </c>
      <c r="H80" t="n">
        <v>0</v>
      </c>
      <c r="I80" t="n">
        <v>2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4</v>
      </c>
      <c r="R80" s="2" t="inlineStr">
        <is>
          <t>Lunglav
Skrovellav
Skinnlav
Stor aspticka</t>
        </is>
      </c>
      <c r="S80">
        <f>HYPERLINK("https://klasma.github.io/Logging_242481/artfynd/A 30414-2025 artfynd.xlsx", "A 30414-2025")</f>
        <v/>
      </c>
      <c r="T80">
        <f>HYPERLINK("https://klasma.github.io/Logging_242481/kartor/A 30414-2025 karta.png", "A 30414-2025")</f>
        <v/>
      </c>
      <c r="V80">
        <f>HYPERLINK("https://klasma.github.io/Logging_242481/klagomål/A 30414-2025 FSC-klagomål.docx", "A 30414-2025")</f>
        <v/>
      </c>
      <c r="W80">
        <f>HYPERLINK("https://klasma.github.io/Logging_242481/klagomålsmail/A 30414-2025 FSC-klagomål mail.docx", "A 30414-2025")</f>
        <v/>
      </c>
      <c r="X80">
        <f>HYPERLINK("https://klasma.github.io/Logging_242481/tillsyn/A 30414-2025 tillsynsbegäran.docx", "A 30414-2025")</f>
        <v/>
      </c>
      <c r="Y80">
        <f>HYPERLINK("https://klasma.github.io/Logging_242481/tillsynsmail/A 30414-2025 tillsynsbegäran mail.docx", "A 30414-2025")</f>
        <v/>
      </c>
    </row>
    <row r="81" ht="15" customHeight="1">
      <c r="A81" t="inlineStr">
        <is>
          <t>A 48784-2019</t>
        </is>
      </c>
      <c r="B81" s="1" t="n">
        <v>43727</v>
      </c>
      <c r="C81" s="1" t="n">
        <v>45831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Gammelgransskål
Garnlav
Granticka</t>
        </is>
      </c>
      <c r="S81">
        <f>HYPERLINK("https://klasma.github.io/Logging_2481/artfynd/A 48784-2019 artfynd.xlsx", "A 48784-2019")</f>
        <v/>
      </c>
      <c r="T81">
        <f>HYPERLINK("https://klasma.github.io/Logging_2481/kartor/A 48784-2019 karta.png", "A 48784-2019")</f>
        <v/>
      </c>
      <c r="V81">
        <f>HYPERLINK("https://klasma.github.io/Logging_2481/klagomål/A 48784-2019 FSC-klagomål.docx", "A 48784-2019")</f>
        <v/>
      </c>
      <c r="W81">
        <f>HYPERLINK("https://klasma.github.io/Logging_2481/klagomålsmail/A 48784-2019 FSC-klagomål mail.docx", "A 48784-2019")</f>
        <v/>
      </c>
      <c r="X81">
        <f>HYPERLINK("https://klasma.github.io/Logging_2481/tillsyn/A 48784-2019 tillsynsbegäran.docx", "A 48784-2019")</f>
        <v/>
      </c>
      <c r="Y81">
        <f>HYPERLINK("https://klasma.github.io/Logging_2481/tillsynsmail/A 48784-2019 tillsynsbegäran mail.docx", "A 48784-2019")</f>
        <v/>
      </c>
    </row>
    <row r="82" ht="15" customHeight="1">
      <c r="A82" t="inlineStr">
        <is>
          <t>A 47498-2021</t>
        </is>
      </c>
      <c r="B82" s="1" t="n">
        <v>44447</v>
      </c>
      <c r="C82" s="1" t="n">
        <v>45831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4.6</v>
      </c>
      <c r="H82" t="n">
        <v>1</v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Doftticka
Skinnlav
Stuplav</t>
        </is>
      </c>
      <c r="S82">
        <f>HYPERLINK("https://klasma.github.io/Logging_2481/artfynd/A 47498-2021 artfynd.xlsx", "A 47498-2021")</f>
        <v/>
      </c>
      <c r="T82">
        <f>HYPERLINK("https://klasma.github.io/Logging_2481/kartor/A 47498-2021 karta.png", "A 47498-2021")</f>
        <v/>
      </c>
      <c r="V82">
        <f>HYPERLINK("https://klasma.github.io/Logging_2481/klagomål/A 47498-2021 FSC-klagomål.docx", "A 47498-2021")</f>
        <v/>
      </c>
      <c r="W82">
        <f>HYPERLINK("https://klasma.github.io/Logging_2481/klagomålsmail/A 47498-2021 FSC-klagomål mail.docx", "A 47498-2021")</f>
        <v/>
      </c>
      <c r="X82">
        <f>HYPERLINK("https://klasma.github.io/Logging_2481/tillsyn/A 47498-2021 tillsynsbegäran.docx", "A 47498-2021")</f>
        <v/>
      </c>
      <c r="Y82">
        <f>HYPERLINK("https://klasma.github.io/Logging_2481/tillsynsmail/A 47498-2021 tillsynsbegäran mail.docx", "A 47498-2021")</f>
        <v/>
      </c>
    </row>
    <row r="83" ht="15" customHeight="1">
      <c r="A83" t="inlineStr">
        <is>
          <t>A 61172-2021</t>
        </is>
      </c>
      <c r="B83" s="1" t="n">
        <v>44498</v>
      </c>
      <c r="C83" s="1" t="n">
        <v>45831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3</v>
      </c>
      <c r="R83" s="2" t="inlineStr">
        <is>
          <t>Jättemusseron
Kolflarnlav
Nordtagging</t>
        </is>
      </c>
      <c r="S83">
        <f>HYPERLINK("https://klasma.github.io/Logging_2481/artfynd/A 61172-2021 artfynd.xlsx", "A 61172-2021")</f>
        <v/>
      </c>
      <c r="T83">
        <f>HYPERLINK("https://klasma.github.io/Logging_2481/kartor/A 61172-2021 karta.png", "A 61172-2021")</f>
        <v/>
      </c>
      <c r="V83">
        <f>HYPERLINK("https://klasma.github.io/Logging_2481/klagomål/A 61172-2021 FSC-klagomål.docx", "A 61172-2021")</f>
        <v/>
      </c>
      <c r="W83">
        <f>HYPERLINK("https://klasma.github.io/Logging_2481/klagomålsmail/A 61172-2021 FSC-klagomål mail.docx", "A 61172-2021")</f>
        <v/>
      </c>
      <c r="X83">
        <f>HYPERLINK("https://klasma.github.io/Logging_2481/tillsyn/A 61172-2021 tillsynsbegäran.docx", "A 61172-2021")</f>
        <v/>
      </c>
      <c r="Y83">
        <f>HYPERLINK("https://klasma.github.io/Logging_2481/tillsynsmail/A 61172-2021 tillsynsbegäran mail.docx", "A 61172-2021")</f>
        <v/>
      </c>
    </row>
    <row r="84" ht="15" customHeight="1">
      <c r="A84" t="inlineStr">
        <is>
          <t>A 61747-2021</t>
        </is>
      </c>
      <c r="B84" s="1" t="n">
        <v>44501</v>
      </c>
      <c r="C84" s="1" t="n">
        <v>45831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15.1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Vaddporing
Dropptaggsvamp
Fjällig taggsvamp s.str.</t>
        </is>
      </c>
      <c r="S84">
        <f>HYPERLINK("https://klasma.github.io/Logging_2481/artfynd/A 61747-2021 artfynd.xlsx", "A 61747-2021")</f>
        <v/>
      </c>
      <c r="T84">
        <f>HYPERLINK("https://klasma.github.io/Logging_2481/kartor/A 61747-2021 karta.png", "A 61747-2021")</f>
        <v/>
      </c>
      <c r="V84">
        <f>HYPERLINK("https://klasma.github.io/Logging_2481/klagomål/A 61747-2021 FSC-klagomål.docx", "A 61747-2021")</f>
        <v/>
      </c>
      <c r="W84">
        <f>HYPERLINK("https://klasma.github.io/Logging_2481/klagomålsmail/A 61747-2021 FSC-klagomål mail.docx", "A 61747-2021")</f>
        <v/>
      </c>
      <c r="X84">
        <f>HYPERLINK("https://klasma.github.io/Logging_2481/tillsyn/A 61747-2021 tillsynsbegäran.docx", "A 61747-2021")</f>
        <v/>
      </c>
      <c r="Y84">
        <f>HYPERLINK("https://klasma.github.io/Logging_2481/tillsynsmail/A 61747-2021 tillsynsbegäran mail.docx", "A 61747-2021")</f>
        <v/>
      </c>
    </row>
    <row r="85" ht="15" customHeight="1">
      <c r="A85" t="inlineStr">
        <is>
          <t>A 28420-2022</t>
        </is>
      </c>
      <c r="B85" s="1" t="n">
        <v>44747</v>
      </c>
      <c r="C85" s="1" t="n">
        <v>45831</v>
      </c>
      <c r="D85" t="inlineStr">
        <is>
          <t>VÄSTERBOTTENS LÄN</t>
        </is>
      </c>
      <c r="E85" t="inlineStr">
        <is>
          <t>LYCKSELE</t>
        </is>
      </c>
      <c r="G85" t="n">
        <v>6.4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Lunglav
Luddlav
Stuplav</t>
        </is>
      </c>
      <c r="S85">
        <f>HYPERLINK("https://klasma.github.io/Logging_2481/artfynd/A 28420-2022 artfynd.xlsx", "A 28420-2022")</f>
        <v/>
      </c>
      <c r="T85">
        <f>HYPERLINK("https://klasma.github.io/Logging_2481/kartor/A 28420-2022 karta.png", "A 28420-2022")</f>
        <v/>
      </c>
      <c r="V85">
        <f>HYPERLINK("https://klasma.github.io/Logging_2481/klagomål/A 28420-2022 FSC-klagomål.docx", "A 28420-2022")</f>
        <v/>
      </c>
      <c r="W85">
        <f>HYPERLINK("https://klasma.github.io/Logging_2481/klagomålsmail/A 28420-2022 FSC-klagomål mail.docx", "A 28420-2022")</f>
        <v/>
      </c>
      <c r="X85">
        <f>HYPERLINK("https://klasma.github.io/Logging_2481/tillsyn/A 28420-2022 tillsynsbegäran.docx", "A 28420-2022")</f>
        <v/>
      </c>
      <c r="Y85">
        <f>HYPERLINK("https://klasma.github.io/Logging_2481/tillsynsmail/A 28420-2022 tillsynsbegäran mail.docx", "A 28420-2022")</f>
        <v/>
      </c>
    </row>
    <row r="86" ht="15" customHeight="1">
      <c r="A86" t="inlineStr">
        <is>
          <t>A 56519-2022</t>
        </is>
      </c>
      <c r="B86" s="1" t="n">
        <v>44893</v>
      </c>
      <c r="C86" s="1" t="n">
        <v>45831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18.2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Vedflamlav
Dropptaggsvamp
Skarp dropptaggsvamp</t>
        </is>
      </c>
      <c r="S86">
        <f>HYPERLINK("https://klasma.github.io/Logging_2481/artfynd/A 56519-2022 artfynd.xlsx", "A 56519-2022")</f>
        <v/>
      </c>
      <c r="T86">
        <f>HYPERLINK("https://klasma.github.io/Logging_2481/kartor/A 56519-2022 karta.png", "A 56519-2022")</f>
        <v/>
      </c>
      <c r="V86">
        <f>HYPERLINK("https://klasma.github.io/Logging_2481/klagomål/A 56519-2022 FSC-klagomål.docx", "A 56519-2022")</f>
        <v/>
      </c>
      <c r="W86">
        <f>HYPERLINK("https://klasma.github.io/Logging_2481/klagomålsmail/A 56519-2022 FSC-klagomål mail.docx", "A 56519-2022")</f>
        <v/>
      </c>
      <c r="X86">
        <f>HYPERLINK("https://klasma.github.io/Logging_2481/tillsyn/A 56519-2022 tillsynsbegäran.docx", "A 56519-2022")</f>
        <v/>
      </c>
      <c r="Y86">
        <f>HYPERLINK("https://klasma.github.io/Logging_2481/tillsynsmail/A 56519-2022 tillsynsbegäran mail.docx", "A 56519-2022")</f>
        <v/>
      </c>
    </row>
    <row r="87" ht="15" customHeight="1">
      <c r="A87" t="inlineStr">
        <is>
          <t>A 40657-2023</t>
        </is>
      </c>
      <c r="B87" s="1" t="n">
        <v>45170</v>
      </c>
      <c r="C87" s="1" t="n">
        <v>45831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Orange taggsvamp
Dropptaggsvamp</t>
        </is>
      </c>
      <c r="S87">
        <f>HYPERLINK("https://klasma.github.io/Logging_2481/artfynd/A 40657-2023 artfynd.xlsx", "A 40657-2023")</f>
        <v/>
      </c>
      <c r="T87">
        <f>HYPERLINK("https://klasma.github.io/Logging_2481/kartor/A 40657-2023 karta.png", "A 40657-2023")</f>
        <v/>
      </c>
      <c r="V87">
        <f>HYPERLINK("https://klasma.github.io/Logging_2481/klagomål/A 40657-2023 FSC-klagomål.docx", "A 40657-2023")</f>
        <v/>
      </c>
      <c r="W87">
        <f>HYPERLINK("https://klasma.github.io/Logging_2481/klagomålsmail/A 40657-2023 FSC-klagomål mail.docx", "A 40657-2023")</f>
        <v/>
      </c>
      <c r="X87">
        <f>HYPERLINK("https://klasma.github.io/Logging_2481/tillsyn/A 40657-2023 tillsynsbegäran.docx", "A 40657-2023")</f>
        <v/>
      </c>
      <c r="Y87">
        <f>HYPERLINK("https://klasma.github.io/Logging_2481/tillsynsmail/A 40657-2023 tillsynsbegäran mail.docx", "A 40657-2023")</f>
        <v/>
      </c>
    </row>
    <row r="88" ht="15" customHeight="1">
      <c r="A88" t="inlineStr">
        <is>
          <t>A 53808-2023</t>
        </is>
      </c>
      <c r="B88" s="1" t="n">
        <v>45231</v>
      </c>
      <c r="C88" s="1" t="n">
        <v>45831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1.8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Vedflamlav
Brandticka
Gullgröppa</t>
        </is>
      </c>
      <c r="S88">
        <f>HYPERLINK("https://klasma.github.io/Logging_2481/artfynd/A 53808-2023 artfynd.xlsx", "A 53808-2023")</f>
        <v/>
      </c>
      <c r="T88">
        <f>HYPERLINK("https://klasma.github.io/Logging_2481/kartor/A 53808-2023 karta.png", "A 53808-2023")</f>
        <v/>
      </c>
      <c r="V88">
        <f>HYPERLINK("https://klasma.github.io/Logging_2481/klagomål/A 53808-2023 FSC-klagomål.docx", "A 53808-2023")</f>
        <v/>
      </c>
      <c r="W88">
        <f>HYPERLINK("https://klasma.github.io/Logging_2481/klagomålsmail/A 53808-2023 FSC-klagomål mail.docx", "A 53808-2023")</f>
        <v/>
      </c>
      <c r="X88">
        <f>HYPERLINK("https://klasma.github.io/Logging_2481/tillsyn/A 53808-2023 tillsynsbegäran.docx", "A 53808-2023")</f>
        <v/>
      </c>
      <c r="Y88">
        <f>HYPERLINK("https://klasma.github.io/Logging_2481/tillsynsmail/A 53808-2023 tillsynsbegäran mail.docx", "A 53808-2023")</f>
        <v/>
      </c>
    </row>
    <row r="89" ht="15" customHeight="1">
      <c r="A89" t="inlineStr">
        <is>
          <t>A 679-2024</t>
        </is>
      </c>
      <c r="B89" s="1" t="n">
        <v>45300</v>
      </c>
      <c r="C89" s="1" t="n">
        <v>45831</v>
      </c>
      <c r="D89" t="inlineStr">
        <is>
          <t>VÄSTERBOTTENS LÄN</t>
        </is>
      </c>
      <c r="E89" t="inlineStr">
        <is>
          <t>LYCKSELE</t>
        </is>
      </c>
      <c r="G89" t="n">
        <v>11.3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Garnlav
Skrovellav
Luddlav</t>
        </is>
      </c>
      <c r="S89">
        <f>HYPERLINK("https://klasma.github.io/Logging_2481/artfynd/A 679-2024 artfynd.xlsx", "A 679-2024")</f>
        <v/>
      </c>
      <c r="T89">
        <f>HYPERLINK("https://klasma.github.io/Logging_2481/kartor/A 679-2024 karta.png", "A 679-2024")</f>
        <v/>
      </c>
      <c r="V89">
        <f>HYPERLINK("https://klasma.github.io/Logging_2481/klagomål/A 679-2024 FSC-klagomål.docx", "A 679-2024")</f>
        <v/>
      </c>
      <c r="W89">
        <f>HYPERLINK("https://klasma.github.io/Logging_2481/klagomålsmail/A 679-2024 FSC-klagomål mail.docx", "A 679-2024")</f>
        <v/>
      </c>
      <c r="X89">
        <f>HYPERLINK("https://klasma.github.io/Logging_2481/tillsyn/A 679-2024 tillsynsbegäran.docx", "A 679-2024")</f>
        <v/>
      </c>
      <c r="Y89">
        <f>HYPERLINK("https://klasma.github.io/Logging_2481/tillsynsmail/A 679-2024 tillsynsbegäran mail.docx", "A 679-2024")</f>
        <v/>
      </c>
    </row>
    <row r="90" ht="15" customHeight="1">
      <c r="A90" t="inlineStr">
        <is>
          <t>A 35678-2024</t>
        </is>
      </c>
      <c r="B90" s="1" t="n">
        <v>45532</v>
      </c>
      <c r="C90" s="1" t="n">
        <v>45831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16.5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Garnlav
Vaddporing</t>
        </is>
      </c>
      <c r="S90">
        <f>HYPERLINK("https://klasma.github.io/Logging_2481/artfynd/A 35678-2024 artfynd.xlsx", "A 35678-2024")</f>
        <v/>
      </c>
      <c r="T90">
        <f>HYPERLINK("https://klasma.github.io/Logging_2481/kartor/A 35678-2024 karta.png", "A 35678-2024")</f>
        <v/>
      </c>
      <c r="V90">
        <f>HYPERLINK("https://klasma.github.io/Logging_2481/klagomål/A 35678-2024 FSC-klagomål.docx", "A 35678-2024")</f>
        <v/>
      </c>
      <c r="W90">
        <f>HYPERLINK("https://klasma.github.io/Logging_2481/klagomålsmail/A 35678-2024 FSC-klagomål mail.docx", "A 35678-2024")</f>
        <v/>
      </c>
      <c r="X90">
        <f>HYPERLINK("https://klasma.github.io/Logging_2481/tillsyn/A 35678-2024 tillsynsbegäran.docx", "A 35678-2024")</f>
        <v/>
      </c>
      <c r="Y90">
        <f>HYPERLINK("https://klasma.github.io/Logging_2481/tillsynsmail/A 35678-2024 tillsynsbegäran mail.docx", "A 35678-2024")</f>
        <v/>
      </c>
    </row>
    <row r="91" ht="15" customHeight="1">
      <c r="A91" t="inlineStr">
        <is>
          <t>A 38006-2024</t>
        </is>
      </c>
      <c r="B91" s="1" t="n">
        <v>45544</v>
      </c>
      <c r="C91" s="1" t="n">
        <v>45831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Lammticka
Blå taggsvamp
Koralltaggsvamp</t>
        </is>
      </c>
      <c r="S91">
        <f>HYPERLINK("https://klasma.github.io/Logging_2481/artfynd/A 38006-2024 artfynd.xlsx", "A 38006-2024")</f>
        <v/>
      </c>
      <c r="T91">
        <f>HYPERLINK("https://klasma.github.io/Logging_2481/kartor/A 38006-2024 karta.png", "A 38006-2024")</f>
        <v/>
      </c>
      <c r="V91">
        <f>HYPERLINK("https://klasma.github.io/Logging_2481/klagomål/A 38006-2024 FSC-klagomål.docx", "A 38006-2024")</f>
        <v/>
      </c>
      <c r="W91">
        <f>HYPERLINK("https://klasma.github.io/Logging_2481/klagomålsmail/A 38006-2024 FSC-klagomål mail.docx", "A 38006-2024")</f>
        <v/>
      </c>
      <c r="X91">
        <f>HYPERLINK("https://klasma.github.io/Logging_2481/tillsyn/A 38006-2024 tillsynsbegäran.docx", "A 38006-2024")</f>
        <v/>
      </c>
      <c r="Y91">
        <f>HYPERLINK("https://klasma.github.io/Logging_2481/tillsynsmail/A 38006-2024 tillsynsbegäran mail.docx", "A 38006-2024")</f>
        <v/>
      </c>
    </row>
    <row r="92" ht="15" customHeight="1">
      <c r="A92" t="inlineStr">
        <is>
          <t>A 40724-2024</t>
        </is>
      </c>
      <c r="B92" s="1" t="n">
        <v>45558</v>
      </c>
      <c r="C92" s="1" t="n">
        <v>45831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11.5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Blanksvart spiklav
Kolflarnlav
Orange taggsvamp</t>
        </is>
      </c>
      <c r="S92">
        <f>HYPERLINK("https://klasma.github.io/Logging_2481/artfynd/A 40724-2024 artfynd.xlsx", "A 40724-2024")</f>
        <v/>
      </c>
      <c r="T92">
        <f>HYPERLINK("https://klasma.github.io/Logging_2481/kartor/A 40724-2024 karta.png", "A 40724-2024")</f>
        <v/>
      </c>
      <c r="V92">
        <f>HYPERLINK("https://klasma.github.io/Logging_2481/klagomål/A 40724-2024 FSC-klagomål.docx", "A 40724-2024")</f>
        <v/>
      </c>
      <c r="W92">
        <f>HYPERLINK("https://klasma.github.io/Logging_2481/klagomålsmail/A 40724-2024 FSC-klagomål mail.docx", "A 40724-2024")</f>
        <v/>
      </c>
      <c r="X92">
        <f>HYPERLINK("https://klasma.github.io/Logging_2481/tillsyn/A 40724-2024 tillsynsbegäran.docx", "A 40724-2024")</f>
        <v/>
      </c>
      <c r="Y92">
        <f>HYPERLINK("https://klasma.github.io/Logging_2481/tillsynsmail/A 40724-2024 tillsynsbegäran mail.docx", "A 40724-2024")</f>
        <v/>
      </c>
    </row>
    <row r="93" ht="15" customHeight="1">
      <c r="A93" t="inlineStr">
        <is>
          <t>A 43584-2024</t>
        </is>
      </c>
      <c r="B93" s="1" t="n">
        <v>45569</v>
      </c>
      <c r="C93" s="1" t="n">
        <v>45831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13.1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Blå taggsvamp
Motaggsvamp
Dropptaggsvamp</t>
        </is>
      </c>
      <c r="S93">
        <f>HYPERLINK("https://klasma.github.io/Logging_2481/artfynd/A 43584-2024 artfynd.xlsx", "A 43584-2024")</f>
        <v/>
      </c>
      <c r="T93">
        <f>HYPERLINK("https://klasma.github.io/Logging_2481/kartor/A 43584-2024 karta.png", "A 43584-2024")</f>
        <v/>
      </c>
      <c r="V93">
        <f>HYPERLINK("https://klasma.github.io/Logging_2481/klagomål/A 43584-2024 FSC-klagomål.docx", "A 43584-2024")</f>
        <v/>
      </c>
      <c r="W93">
        <f>HYPERLINK("https://klasma.github.io/Logging_2481/klagomålsmail/A 43584-2024 FSC-klagomål mail.docx", "A 43584-2024")</f>
        <v/>
      </c>
      <c r="X93">
        <f>HYPERLINK("https://klasma.github.io/Logging_2481/tillsyn/A 43584-2024 tillsynsbegäran.docx", "A 43584-2024")</f>
        <v/>
      </c>
      <c r="Y93">
        <f>HYPERLINK("https://klasma.github.io/Logging_2481/tillsynsmail/A 43584-2024 tillsynsbegäran mail.docx", "A 43584-2024")</f>
        <v/>
      </c>
    </row>
    <row r="94" ht="15" customHeight="1">
      <c r="A94" t="inlineStr">
        <is>
          <t>A 45868-2024</t>
        </is>
      </c>
      <c r="B94" s="1" t="n">
        <v>45580</v>
      </c>
      <c r="C94" s="1" t="n">
        <v>45831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Kolflarnlav
Mörk kolflarnlav
Orange taggsvamp</t>
        </is>
      </c>
      <c r="S94">
        <f>HYPERLINK("https://klasma.github.io/Logging_2481/artfynd/A 45868-2024 artfynd.xlsx", "A 45868-2024")</f>
        <v/>
      </c>
      <c r="T94">
        <f>HYPERLINK("https://klasma.github.io/Logging_2481/kartor/A 45868-2024 karta.png", "A 45868-2024")</f>
        <v/>
      </c>
      <c r="V94">
        <f>HYPERLINK("https://klasma.github.io/Logging_2481/klagomål/A 45868-2024 FSC-klagomål.docx", "A 45868-2024")</f>
        <v/>
      </c>
      <c r="W94">
        <f>HYPERLINK("https://klasma.github.io/Logging_2481/klagomålsmail/A 45868-2024 FSC-klagomål mail.docx", "A 45868-2024")</f>
        <v/>
      </c>
      <c r="X94">
        <f>HYPERLINK("https://klasma.github.io/Logging_2481/tillsyn/A 45868-2024 tillsynsbegäran.docx", "A 45868-2024")</f>
        <v/>
      </c>
      <c r="Y94">
        <f>HYPERLINK("https://klasma.github.io/Logging_2481/tillsynsmail/A 45868-2024 tillsynsbegäran mail.docx", "A 45868-2024")</f>
        <v/>
      </c>
    </row>
    <row r="95" ht="15" customHeight="1">
      <c r="A95" t="inlineStr">
        <is>
          <t>A 47093-2024</t>
        </is>
      </c>
      <c r="B95" s="1" t="n">
        <v>45586</v>
      </c>
      <c r="C95" s="1" t="n">
        <v>45831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13.2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Mörk kolflarnlav
Talltaggsvamp
Skarp dropptaggsvamp</t>
        </is>
      </c>
      <c r="S95">
        <f>HYPERLINK("https://klasma.github.io/Logging_2481/artfynd/A 47093-2024 artfynd.xlsx", "A 47093-2024")</f>
        <v/>
      </c>
      <c r="T95">
        <f>HYPERLINK("https://klasma.github.io/Logging_2481/kartor/A 47093-2024 karta.png", "A 47093-2024")</f>
        <v/>
      </c>
      <c r="V95">
        <f>HYPERLINK("https://klasma.github.io/Logging_2481/klagomål/A 47093-2024 FSC-klagomål.docx", "A 47093-2024")</f>
        <v/>
      </c>
      <c r="W95">
        <f>HYPERLINK("https://klasma.github.io/Logging_2481/klagomålsmail/A 47093-2024 FSC-klagomål mail.docx", "A 47093-2024")</f>
        <v/>
      </c>
      <c r="X95">
        <f>HYPERLINK("https://klasma.github.io/Logging_2481/tillsyn/A 47093-2024 tillsynsbegäran.docx", "A 47093-2024")</f>
        <v/>
      </c>
      <c r="Y95">
        <f>HYPERLINK("https://klasma.github.io/Logging_2481/tillsynsmail/A 47093-2024 tillsynsbegäran mail.docx", "A 47093-2024")</f>
        <v/>
      </c>
    </row>
    <row r="96" ht="15" customHeight="1">
      <c r="A96" t="inlineStr">
        <is>
          <t>A 48129-2024</t>
        </is>
      </c>
      <c r="B96" s="1" t="n">
        <v>45589</v>
      </c>
      <c r="C96" s="1" t="n">
        <v>45831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9.800000000000001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Kolflarnlav
Orange taggsvamp</t>
        </is>
      </c>
      <c r="S96">
        <f>HYPERLINK("https://klasma.github.io/Logging_2481/artfynd/A 48129-2024 artfynd.xlsx", "A 48129-2024")</f>
        <v/>
      </c>
      <c r="T96">
        <f>HYPERLINK("https://klasma.github.io/Logging_2481/kartor/A 48129-2024 karta.png", "A 48129-2024")</f>
        <v/>
      </c>
      <c r="V96">
        <f>HYPERLINK("https://klasma.github.io/Logging_2481/klagomål/A 48129-2024 FSC-klagomål.docx", "A 48129-2024")</f>
        <v/>
      </c>
      <c r="W96">
        <f>HYPERLINK("https://klasma.github.io/Logging_2481/klagomålsmail/A 48129-2024 FSC-klagomål mail.docx", "A 48129-2024")</f>
        <v/>
      </c>
      <c r="X96">
        <f>HYPERLINK("https://klasma.github.io/Logging_2481/tillsyn/A 48129-2024 tillsynsbegäran.docx", "A 48129-2024")</f>
        <v/>
      </c>
      <c r="Y96">
        <f>HYPERLINK("https://klasma.github.io/Logging_2481/tillsynsmail/A 48129-2024 tillsynsbegäran mail.docx", "A 48129-2024")</f>
        <v/>
      </c>
    </row>
    <row r="97" ht="15" customHeight="1">
      <c r="A97" t="inlineStr">
        <is>
          <t>A 48395-2024</t>
        </is>
      </c>
      <c r="B97" s="1" t="n">
        <v>45590</v>
      </c>
      <c r="C97" s="1" t="n">
        <v>45831</v>
      </c>
      <c r="D97" t="inlineStr">
        <is>
          <t>VÄSTERBOTTENS LÄN</t>
        </is>
      </c>
      <c r="E97" t="inlineStr">
        <is>
          <t>LYCKSELE</t>
        </is>
      </c>
      <c r="F97" t="inlineStr">
        <is>
          <t>SCA</t>
        </is>
      </c>
      <c r="G97" t="n">
        <v>1.1</v>
      </c>
      <c r="H97" t="n">
        <v>1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Ullticka
Ögonpyrola
Tjäder</t>
        </is>
      </c>
      <c r="S97">
        <f>HYPERLINK("https://klasma.github.io/Logging_2481/artfynd/A 48395-2024 artfynd.xlsx", "A 48395-2024")</f>
        <v/>
      </c>
      <c r="T97">
        <f>HYPERLINK("https://klasma.github.io/Logging_2481/kartor/A 48395-2024 karta.png", "A 48395-2024")</f>
        <v/>
      </c>
      <c r="V97">
        <f>HYPERLINK("https://klasma.github.io/Logging_2481/klagomål/A 48395-2024 FSC-klagomål.docx", "A 48395-2024")</f>
        <v/>
      </c>
      <c r="W97">
        <f>HYPERLINK("https://klasma.github.io/Logging_2481/klagomålsmail/A 48395-2024 FSC-klagomål mail.docx", "A 48395-2024")</f>
        <v/>
      </c>
      <c r="X97">
        <f>HYPERLINK("https://klasma.github.io/Logging_2481/tillsyn/A 48395-2024 tillsynsbegäran.docx", "A 48395-2024")</f>
        <v/>
      </c>
      <c r="Y97">
        <f>HYPERLINK("https://klasma.github.io/Logging_2481/tillsynsmail/A 48395-2024 tillsynsbegäran mail.docx", "A 48395-2024")</f>
        <v/>
      </c>
      <c r="Z97">
        <f>HYPERLINK("https://klasma.github.io/Logging_2481/fåglar/A 48395-2024 prioriterade fågelarter.docx", "A 48395-2024")</f>
        <v/>
      </c>
    </row>
    <row r="98" ht="15" customHeight="1">
      <c r="A98" t="inlineStr">
        <is>
          <t>A 50743-2024</t>
        </is>
      </c>
      <c r="B98" s="1" t="n">
        <v>45602</v>
      </c>
      <c r="C98" s="1" t="n">
        <v>45831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7.4</v>
      </c>
      <c r="H98" t="n">
        <v>1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Doftticka
Lunglav
Mörk kolflarnlav</t>
        </is>
      </c>
      <c r="S98">
        <f>HYPERLINK("https://klasma.github.io/Logging_2481/artfynd/A 50743-2024 artfynd.xlsx", "A 50743-2024")</f>
        <v/>
      </c>
      <c r="T98">
        <f>HYPERLINK("https://klasma.github.io/Logging_2481/kartor/A 50743-2024 karta.png", "A 50743-2024")</f>
        <v/>
      </c>
      <c r="V98">
        <f>HYPERLINK("https://klasma.github.io/Logging_2481/klagomål/A 50743-2024 FSC-klagomål.docx", "A 50743-2024")</f>
        <v/>
      </c>
      <c r="W98">
        <f>HYPERLINK("https://klasma.github.io/Logging_2481/klagomålsmail/A 50743-2024 FSC-klagomål mail.docx", "A 50743-2024")</f>
        <v/>
      </c>
      <c r="X98">
        <f>HYPERLINK("https://klasma.github.io/Logging_2481/tillsyn/A 50743-2024 tillsynsbegäran.docx", "A 50743-2024")</f>
        <v/>
      </c>
      <c r="Y98">
        <f>HYPERLINK("https://klasma.github.io/Logging_2481/tillsynsmail/A 50743-2024 tillsynsbegäran mail.docx", "A 50743-2024")</f>
        <v/>
      </c>
    </row>
    <row r="99" ht="15" customHeight="1">
      <c r="A99" t="inlineStr">
        <is>
          <t>A 53115-2024</t>
        </is>
      </c>
      <c r="B99" s="1" t="n">
        <v>45611</v>
      </c>
      <c r="C99" s="1" t="n">
        <v>45831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4.1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Blå taggsvamp
Kolflarnlav
Orange taggsvamp</t>
        </is>
      </c>
      <c r="S99">
        <f>HYPERLINK("https://klasma.github.io/Logging_2481/artfynd/A 53115-2024 artfynd.xlsx", "A 53115-2024")</f>
        <v/>
      </c>
      <c r="T99">
        <f>HYPERLINK("https://klasma.github.io/Logging_2481/kartor/A 53115-2024 karta.png", "A 53115-2024")</f>
        <v/>
      </c>
      <c r="V99">
        <f>HYPERLINK("https://klasma.github.io/Logging_2481/klagomål/A 53115-2024 FSC-klagomål.docx", "A 53115-2024")</f>
        <v/>
      </c>
      <c r="W99">
        <f>HYPERLINK("https://klasma.github.io/Logging_2481/klagomålsmail/A 53115-2024 FSC-klagomål mail.docx", "A 53115-2024")</f>
        <v/>
      </c>
      <c r="X99">
        <f>HYPERLINK("https://klasma.github.io/Logging_2481/tillsyn/A 53115-2024 tillsynsbegäran.docx", "A 53115-2024")</f>
        <v/>
      </c>
      <c r="Y99">
        <f>HYPERLINK("https://klasma.github.io/Logging_2481/tillsynsmail/A 53115-2024 tillsynsbegäran mail.docx", "A 53115-2024")</f>
        <v/>
      </c>
    </row>
    <row r="100" ht="15" customHeight="1">
      <c r="A100" t="inlineStr">
        <is>
          <t>A 54566-2024</t>
        </is>
      </c>
      <c r="B100" s="1" t="n">
        <v>45617</v>
      </c>
      <c r="C100" s="1" t="n">
        <v>45831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6.7</v>
      </c>
      <c r="H100" t="n">
        <v>0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Orange taggsvamp
Dropptaggsvamp
Vedticka</t>
        </is>
      </c>
      <c r="S100">
        <f>HYPERLINK("https://klasma.github.io/Logging_2481/artfynd/A 54566-2024 artfynd.xlsx", "A 54566-2024")</f>
        <v/>
      </c>
      <c r="T100">
        <f>HYPERLINK("https://klasma.github.io/Logging_2481/kartor/A 54566-2024 karta.png", "A 54566-2024")</f>
        <v/>
      </c>
      <c r="V100">
        <f>HYPERLINK("https://klasma.github.io/Logging_2481/klagomål/A 54566-2024 FSC-klagomål.docx", "A 54566-2024")</f>
        <v/>
      </c>
      <c r="W100">
        <f>HYPERLINK("https://klasma.github.io/Logging_2481/klagomålsmail/A 54566-2024 FSC-klagomål mail.docx", "A 54566-2024")</f>
        <v/>
      </c>
      <c r="X100">
        <f>HYPERLINK("https://klasma.github.io/Logging_2481/tillsyn/A 54566-2024 tillsynsbegäran.docx", "A 54566-2024")</f>
        <v/>
      </c>
      <c r="Y100">
        <f>HYPERLINK("https://klasma.github.io/Logging_2481/tillsynsmail/A 54566-2024 tillsynsbegäran mail.docx", "A 54566-2024")</f>
        <v/>
      </c>
    </row>
    <row r="101" ht="15" customHeight="1">
      <c r="A101" t="inlineStr">
        <is>
          <t>A 55046-2024</t>
        </is>
      </c>
      <c r="B101" s="1" t="n">
        <v>45618</v>
      </c>
      <c r="C101" s="1" t="n">
        <v>45831</v>
      </c>
      <c r="D101" t="inlineStr">
        <is>
          <t>VÄSTERBOTTENS LÄN</t>
        </is>
      </c>
      <c r="E101" t="inlineStr">
        <is>
          <t>LYCKSELE</t>
        </is>
      </c>
      <c r="G101" t="n">
        <v>2.4</v>
      </c>
      <c r="H101" t="n">
        <v>1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Gammelgransskål
Tretåig hackspett
Vitgrynig nållav</t>
        </is>
      </c>
      <c r="S101">
        <f>HYPERLINK("https://klasma.github.io/Logging_2481/artfynd/A 55046-2024 artfynd.xlsx", "A 55046-2024")</f>
        <v/>
      </c>
      <c r="T101">
        <f>HYPERLINK("https://klasma.github.io/Logging_2481/kartor/A 55046-2024 karta.png", "A 55046-2024")</f>
        <v/>
      </c>
      <c r="V101">
        <f>HYPERLINK("https://klasma.github.io/Logging_2481/klagomål/A 55046-2024 FSC-klagomål.docx", "A 55046-2024")</f>
        <v/>
      </c>
      <c r="W101">
        <f>HYPERLINK("https://klasma.github.io/Logging_2481/klagomålsmail/A 55046-2024 FSC-klagomål mail.docx", "A 55046-2024")</f>
        <v/>
      </c>
      <c r="X101">
        <f>HYPERLINK("https://klasma.github.io/Logging_2481/tillsyn/A 55046-2024 tillsynsbegäran.docx", "A 55046-2024")</f>
        <v/>
      </c>
      <c r="Y101">
        <f>HYPERLINK("https://klasma.github.io/Logging_2481/tillsynsmail/A 55046-2024 tillsynsbegäran mail.docx", "A 55046-2024")</f>
        <v/>
      </c>
      <c r="Z101">
        <f>HYPERLINK("https://klasma.github.io/Logging_2481/fåglar/A 55046-2024 prioriterade fågelarter.docx", "A 55046-2024")</f>
        <v/>
      </c>
    </row>
    <row r="102" ht="15" customHeight="1">
      <c r="A102" t="inlineStr">
        <is>
          <t>A 54802-2024</t>
        </is>
      </c>
      <c r="B102" s="1" t="n">
        <v>45618</v>
      </c>
      <c r="C102" s="1" t="n">
        <v>45831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6.2</v>
      </c>
      <c r="H102" t="n">
        <v>1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Doftticka
Blå taggsvamp
Dropptaggsvamp</t>
        </is>
      </c>
      <c r="S102">
        <f>HYPERLINK("https://klasma.github.io/Logging_2481/artfynd/A 54802-2024 artfynd.xlsx", "A 54802-2024")</f>
        <v/>
      </c>
      <c r="T102">
        <f>HYPERLINK("https://klasma.github.io/Logging_2481/kartor/A 54802-2024 karta.png", "A 54802-2024")</f>
        <v/>
      </c>
      <c r="V102">
        <f>HYPERLINK("https://klasma.github.io/Logging_2481/klagomål/A 54802-2024 FSC-klagomål.docx", "A 54802-2024")</f>
        <v/>
      </c>
      <c r="W102">
        <f>HYPERLINK("https://klasma.github.io/Logging_2481/klagomålsmail/A 54802-2024 FSC-klagomål mail.docx", "A 54802-2024")</f>
        <v/>
      </c>
      <c r="X102">
        <f>HYPERLINK("https://klasma.github.io/Logging_2481/tillsyn/A 54802-2024 tillsynsbegäran.docx", "A 54802-2024")</f>
        <v/>
      </c>
      <c r="Y102">
        <f>HYPERLINK("https://klasma.github.io/Logging_2481/tillsynsmail/A 54802-2024 tillsynsbegäran mail.docx", "A 54802-2024")</f>
        <v/>
      </c>
    </row>
    <row r="103" ht="15" customHeight="1">
      <c r="A103" t="inlineStr">
        <is>
          <t>A 57357-2024</t>
        </is>
      </c>
      <c r="B103" s="1" t="n">
        <v>45629</v>
      </c>
      <c r="C103" s="1" t="n">
        <v>45831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9.699999999999999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Doftskinn
Gammelgransskål
Garnlav</t>
        </is>
      </c>
      <c r="S103">
        <f>HYPERLINK("https://klasma.github.io/Logging_2481/artfynd/A 57357-2024 artfynd.xlsx", "A 57357-2024")</f>
        <v/>
      </c>
      <c r="T103">
        <f>HYPERLINK("https://klasma.github.io/Logging_2481/kartor/A 57357-2024 karta.png", "A 57357-2024")</f>
        <v/>
      </c>
      <c r="V103">
        <f>HYPERLINK("https://klasma.github.io/Logging_2481/klagomål/A 57357-2024 FSC-klagomål.docx", "A 57357-2024")</f>
        <v/>
      </c>
      <c r="W103">
        <f>HYPERLINK("https://klasma.github.io/Logging_2481/klagomålsmail/A 57357-2024 FSC-klagomål mail.docx", "A 57357-2024")</f>
        <v/>
      </c>
      <c r="X103">
        <f>HYPERLINK("https://klasma.github.io/Logging_2481/tillsyn/A 57357-2024 tillsynsbegäran.docx", "A 57357-2024")</f>
        <v/>
      </c>
      <c r="Y103">
        <f>HYPERLINK("https://klasma.github.io/Logging_2481/tillsynsmail/A 57357-2024 tillsynsbegäran mail.docx", "A 57357-2024")</f>
        <v/>
      </c>
    </row>
    <row r="104" ht="15" customHeight="1">
      <c r="A104" t="inlineStr">
        <is>
          <t>A 59276-2024</t>
        </is>
      </c>
      <c r="B104" s="1" t="n">
        <v>45637</v>
      </c>
      <c r="C104" s="1" t="n">
        <v>45831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12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Kolflarnlav
Motaggsvamp
Dropptaggsvamp</t>
        </is>
      </c>
      <c r="S104">
        <f>HYPERLINK("https://klasma.github.io/Logging_2481/artfynd/A 59276-2024 artfynd.xlsx", "A 59276-2024")</f>
        <v/>
      </c>
      <c r="T104">
        <f>HYPERLINK("https://klasma.github.io/Logging_2481/kartor/A 59276-2024 karta.png", "A 59276-2024")</f>
        <v/>
      </c>
      <c r="V104">
        <f>HYPERLINK("https://klasma.github.io/Logging_2481/klagomål/A 59276-2024 FSC-klagomål.docx", "A 59276-2024")</f>
        <v/>
      </c>
      <c r="W104">
        <f>HYPERLINK("https://klasma.github.io/Logging_2481/klagomålsmail/A 59276-2024 FSC-klagomål mail.docx", "A 59276-2024")</f>
        <v/>
      </c>
      <c r="X104">
        <f>HYPERLINK("https://klasma.github.io/Logging_2481/tillsyn/A 59276-2024 tillsynsbegäran.docx", "A 59276-2024")</f>
        <v/>
      </c>
      <c r="Y104">
        <f>HYPERLINK("https://klasma.github.io/Logging_2481/tillsynsmail/A 59276-2024 tillsynsbegäran mail.docx", "A 59276-2024")</f>
        <v/>
      </c>
    </row>
    <row r="105" ht="15" customHeight="1">
      <c r="A105" t="inlineStr">
        <is>
          <t>A 60422-2024</t>
        </is>
      </c>
      <c r="B105" s="1" t="n">
        <v>45643</v>
      </c>
      <c r="C105" s="1" t="n">
        <v>45831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12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Motaggsvamp
Dropptaggsvamp</t>
        </is>
      </c>
      <c r="S105">
        <f>HYPERLINK("https://klasma.github.io/Logging_2481/artfynd/A 60422-2024 artfynd.xlsx", "A 60422-2024")</f>
        <v/>
      </c>
      <c r="T105">
        <f>HYPERLINK("https://klasma.github.io/Logging_2481/kartor/A 60422-2024 karta.png", "A 60422-2024")</f>
        <v/>
      </c>
      <c r="V105">
        <f>HYPERLINK("https://klasma.github.io/Logging_2481/klagomål/A 60422-2024 FSC-klagomål.docx", "A 60422-2024")</f>
        <v/>
      </c>
      <c r="W105">
        <f>HYPERLINK("https://klasma.github.io/Logging_2481/klagomålsmail/A 60422-2024 FSC-klagomål mail.docx", "A 60422-2024")</f>
        <v/>
      </c>
      <c r="X105">
        <f>HYPERLINK("https://klasma.github.io/Logging_2481/tillsyn/A 60422-2024 tillsynsbegäran.docx", "A 60422-2024")</f>
        <v/>
      </c>
      <c r="Y105">
        <f>HYPERLINK("https://klasma.github.io/Logging_2481/tillsynsmail/A 60422-2024 tillsynsbegäran mail.docx", "A 60422-2024")</f>
        <v/>
      </c>
    </row>
    <row r="106" ht="15" customHeight="1">
      <c r="A106" t="inlineStr">
        <is>
          <t>A 5696-2025</t>
        </is>
      </c>
      <c r="B106" s="1" t="n">
        <v>45694</v>
      </c>
      <c r="C106" s="1" t="n">
        <v>45831</v>
      </c>
      <c r="D106" t="inlineStr">
        <is>
          <t>VÄSTERBOTTENS LÄN</t>
        </is>
      </c>
      <c r="E106" t="inlineStr">
        <is>
          <t>LYCKSELE</t>
        </is>
      </c>
      <c r="G106" t="n">
        <v>6.4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Blå taggsvamp
Tretåig hackspett
Dropptaggsvamp</t>
        </is>
      </c>
      <c r="S106">
        <f>HYPERLINK("https://klasma.github.io/Logging_2481/artfynd/A 5696-2025 artfynd.xlsx", "A 5696-2025")</f>
        <v/>
      </c>
      <c r="T106">
        <f>HYPERLINK("https://klasma.github.io/Logging_2481/kartor/A 5696-2025 karta.png", "A 5696-2025")</f>
        <v/>
      </c>
      <c r="V106">
        <f>HYPERLINK("https://klasma.github.io/Logging_2481/klagomål/A 5696-2025 FSC-klagomål.docx", "A 5696-2025")</f>
        <v/>
      </c>
      <c r="W106">
        <f>HYPERLINK("https://klasma.github.io/Logging_2481/klagomålsmail/A 5696-2025 FSC-klagomål mail.docx", "A 5696-2025")</f>
        <v/>
      </c>
      <c r="X106">
        <f>HYPERLINK("https://klasma.github.io/Logging_2481/tillsyn/A 5696-2025 tillsynsbegäran.docx", "A 5696-2025")</f>
        <v/>
      </c>
      <c r="Y106">
        <f>HYPERLINK("https://klasma.github.io/Logging_2481/tillsynsmail/A 5696-2025 tillsynsbegäran mail.docx", "A 5696-2025")</f>
        <v/>
      </c>
      <c r="Z106">
        <f>HYPERLINK("https://klasma.github.io/Logging_2481/fåglar/A 5696-2025 prioriterade fågelarter.docx", "A 5696-2025")</f>
        <v/>
      </c>
    </row>
    <row r="107" ht="15" customHeight="1">
      <c r="A107" t="inlineStr">
        <is>
          <t>A 22123-2025</t>
        </is>
      </c>
      <c r="B107" s="1" t="n">
        <v>45785</v>
      </c>
      <c r="C107" s="1" t="n">
        <v>45831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11.2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Blå taggsvamp
Kolflarnlav
Dropptaggsvamp</t>
        </is>
      </c>
      <c r="S107">
        <f>HYPERLINK("https://klasma.github.io/Logging_242481/artfynd/A 22123-2025 artfynd.xlsx", "A 22123-2025")</f>
        <v/>
      </c>
      <c r="T107">
        <f>HYPERLINK("https://klasma.github.io/Logging_242481/kartor/A 22123-2025 karta.png", "A 22123-2025")</f>
        <v/>
      </c>
      <c r="V107">
        <f>HYPERLINK("https://klasma.github.io/Logging_242481/klagomål/A 22123-2025 FSC-klagomål.docx", "A 22123-2025")</f>
        <v/>
      </c>
      <c r="W107">
        <f>HYPERLINK("https://klasma.github.io/Logging_242481/klagomålsmail/A 22123-2025 FSC-klagomål mail.docx", "A 22123-2025")</f>
        <v/>
      </c>
      <c r="X107">
        <f>HYPERLINK("https://klasma.github.io/Logging_242481/tillsyn/A 22123-2025 tillsynsbegäran.docx", "A 22123-2025")</f>
        <v/>
      </c>
      <c r="Y107">
        <f>HYPERLINK("https://klasma.github.io/Logging_242481/tillsynsmail/A 22123-2025 tillsynsbegäran mail.docx", "A 22123-2025")</f>
        <v/>
      </c>
    </row>
    <row r="108" ht="15" customHeight="1">
      <c r="A108" t="inlineStr">
        <is>
          <t>A 22368-2025</t>
        </is>
      </c>
      <c r="B108" s="1" t="n">
        <v>45786</v>
      </c>
      <c r="C108" s="1" t="n">
        <v>45831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2.9</v>
      </c>
      <c r="H108" t="n">
        <v>0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Blå taggsvamp
Kolflarnlav
Mörk kolflarnlav</t>
        </is>
      </c>
      <c r="S108">
        <f>HYPERLINK("https://klasma.github.io/Logging_242481/artfynd/A 22368-2025 artfynd.xlsx", "A 22368-2025")</f>
        <v/>
      </c>
      <c r="T108">
        <f>HYPERLINK("https://klasma.github.io/Logging_242481/kartor/A 22368-2025 karta.png", "A 22368-2025")</f>
        <v/>
      </c>
      <c r="V108">
        <f>HYPERLINK("https://klasma.github.io/Logging_242481/klagomål/A 22368-2025 FSC-klagomål.docx", "A 22368-2025")</f>
        <v/>
      </c>
      <c r="W108">
        <f>HYPERLINK("https://klasma.github.io/Logging_242481/klagomålsmail/A 22368-2025 FSC-klagomål mail.docx", "A 22368-2025")</f>
        <v/>
      </c>
      <c r="X108">
        <f>HYPERLINK("https://klasma.github.io/Logging_242481/tillsyn/A 22368-2025 tillsynsbegäran.docx", "A 22368-2025")</f>
        <v/>
      </c>
      <c r="Y108">
        <f>HYPERLINK("https://klasma.github.io/Logging_242481/tillsynsmail/A 22368-2025 tillsynsbegäran mail.docx", "A 22368-2025")</f>
        <v/>
      </c>
    </row>
    <row r="109" ht="15" customHeight="1">
      <c r="A109" t="inlineStr">
        <is>
          <t>A 15662-2021</t>
        </is>
      </c>
      <c r="B109" s="1" t="n">
        <v>44286</v>
      </c>
      <c r="C109" s="1" t="n">
        <v>45831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3.4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Reliktbock</t>
        </is>
      </c>
      <c r="S109">
        <f>HYPERLINK("https://klasma.github.io/Logging_2481/artfynd/A 15662-2021 artfynd.xlsx", "A 15662-2021")</f>
        <v/>
      </c>
      <c r="T109">
        <f>HYPERLINK("https://klasma.github.io/Logging_2481/kartor/A 15662-2021 karta.png", "A 15662-2021")</f>
        <v/>
      </c>
      <c r="V109">
        <f>HYPERLINK("https://klasma.github.io/Logging_2481/klagomål/A 15662-2021 FSC-klagomål.docx", "A 15662-2021")</f>
        <v/>
      </c>
      <c r="W109">
        <f>HYPERLINK("https://klasma.github.io/Logging_2481/klagomålsmail/A 15662-2021 FSC-klagomål mail.docx", "A 15662-2021")</f>
        <v/>
      </c>
      <c r="X109">
        <f>HYPERLINK("https://klasma.github.io/Logging_2481/tillsyn/A 15662-2021 tillsynsbegäran.docx", "A 15662-2021")</f>
        <v/>
      </c>
      <c r="Y109">
        <f>HYPERLINK("https://klasma.github.io/Logging_2481/tillsynsmail/A 15662-2021 tillsynsbegäran mail.docx", "A 15662-2021")</f>
        <v/>
      </c>
    </row>
    <row r="110" ht="15" customHeight="1">
      <c r="A110" t="inlineStr">
        <is>
          <t>A 61497-2021</t>
        </is>
      </c>
      <c r="B110" s="1" t="n">
        <v>44501</v>
      </c>
      <c r="C110" s="1" t="n">
        <v>45831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8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Dvärgbägarlav
Vaddporing</t>
        </is>
      </c>
      <c r="S110">
        <f>HYPERLINK("https://klasma.github.io/Logging_2481/artfynd/A 61497-2021 artfynd.xlsx", "A 61497-2021")</f>
        <v/>
      </c>
      <c r="T110">
        <f>HYPERLINK("https://klasma.github.io/Logging_2481/kartor/A 61497-2021 karta.png", "A 61497-2021")</f>
        <v/>
      </c>
      <c r="V110">
        <f>HYPERLINK("https://klasma.github.io/Logging_2481/klagomål/A 61497-2021 FSC-klagomål.docx", "A 61497-2021")</f>
        <v/>
      </c>
      <c r="W110">
        <f>HYPERLINK("https://klasma.github.io/Logging_2481/klagomålsmail/A 61497-2021 FSC-klagomål mail.docx", "A 61497-2021")</f>
        <v/>
      </c>
      <c r="X110">
        <f>HYPERLINK("https://klasma.github.io/Logging_2481/tillsyn/A 61497-2021 tillsynsbegäran.docx", "A 61497-2021")</f>
        <v/>
      </c>
      <c r="Y110">
        <f>HYPERLINK("https://klasma.github.io/Logging_2481/tillsynsmail/A 61497-2021 tillsynsbegäran mail.docx", "A 61497-2021")</f>
        <v/>
      </c>
    </row>
    <row r="111" ht="15" customHeight="1">
      <c r="A111" t="inlineStr">
        <is>
          <t>A 70179-2021</t>
        </is>
      </c>
      <c r="B111" s="1" t="n">
        <v>44533</v>
      </c>
      <c r="C111" s="1" t="n">
        <v>45831</v>
      </c>
      <c r="D111" t="inlineStr">
        <is>
          <t>VÄSTERBOTTENS LÄN</t>
        </is>
      </c>
      <c r="E111" t="inlineStr">
        <is>
          <t>LYCKSELE</t>
        </is>
      </c>
      <c r="G111" t="n">
        <v>5.2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Blanksvart spiklav
Vedflamlav</t>
        </is>
      </c>
      <c r="S111">
        <f>HYPERLINK("https://klasma.github.io/Logging_2481/artfynd/A 70179-2021 artfynd.xlsx", "A 70179-2021")</f>
        <v/>
      </c>
      <c r="T111">
        <f>HYPERLINK("https://klasma.github.io/Logging_2481/kartor/A 70179-2021 karta.png", "A 70179-2021")</f>
        <v/>
      </c>
      <c r="V111">
        <f>HYPERLINK("https://klasma.github.io/Logging_2481/klagomål/A 70179-2021 FSC-klagomål.docx", "A 70179-2021")</f>
        <v/>
      </c>
      <c r="W111">
        <f>HYPERLINK("https://klasma.github.io/Logging_2481/klagomålsmail/A 70179-2021 FSC-klagomål mail.docx", "A 70179-2021")</f>
        <v/>
      </c>
      <c r="X111">
        <f>HYPERLINK("https://klasma.github.io/Logging_2481/tillsyn/A 70179-2021 tillsynsbegäran.docx", "A 70179-2021")</f>
        <v/>
      </c>
      <c r="Y111">
        <f>HYPERLINK("https://klasma.github.io/Logging_2481/tillsynsmail/A 70179-2021 tillsynsbegäran mail.docx", "A 70179-2021")</f>
        <v/>
      </c>
    </row>
    <row r="112" ht="15" customHeight="1">
      <c r="A112" t="inlineStr">
        <is>
          <t>A 6526-2022</t>
        </is>
      </c>
      <c r="B112" s="1" t="n">
        <v>44601</v>
      </c>
      <c r="C112" s="1" t="n">
        <v>45831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6.7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Skrovlig taggsvamp
Dropptaggsvamp</t>
        </is>
      </c>
      <c r="S112">
        <f>HYPERLINK("https://klasma.github.io/Logging_2481/artfynd/A 6526-2022 artfynd.xlsx", "A 6526-2022")</f>
        <v/>
      </c>
      <c r="T112">
        <f>HYPERLINK("https://klasma.github.io/Logging_2481/kartor/A 6526-2022 karta.png", "A 6526-2022")</f>
        <v/>
      </c>
      <c r="V112">
        <f>HYPERLINK("https://klasma.github.io/Logging_2481/klagomål/A 6526-2022 FSC-klagomål.docx", "A 6526-2022")</f>
        <v/>
      </c>
      <c r="W112">
        <f>HYPERLINK("https://klasma.github.io/Logging_2481/klagomålsmail/A 6526-2022 FSC-klagomål mail.docx", "A 6526-2022")</f>
        <v/>
      </c>
      <c r="X112">
        <f>HYPERLINK("https://klasma.github.io/Logging_2481/tillsyn/A 6526-2022 tillsynsbegäran.docx", "A 6526-2022")</f>
        <v/>
      </c>
      <c r="Y112">
        <f>HYPERLINK("https://klasma.github.io/Logging_2481/tillsynsmail/A 6526-2022 tillsynsbegäran mail.docx", "A 6526-2022")</f>
        <v/>
      </c>
    </row>
    <row r="113" ht="15" customHeight="1">
      <c r="A113" t="inlineStr">
        <is>
          <t>A 21668-2022</t>
        </is>
      </c>
      <c r="B113" s="1" t="n">
        <v>44706</v>
      </c>
      <c r="C113" s="1" t="n">
        <v>45831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SCA</t>
        </is>
      </c>
      <c r="G113" t="n">
        <v>1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Gammelgransskål
Granticka</t>
        </is>
      </c>
      <c r="S113">
        <f>HYPERLINK("https://klasma.github.io/Logging_2481/artfynd/A 21668-2022 artfynd.xlsx", "A 21668-2022")</f>
        <v/>
      </c>
      <c r="T113">
        <f>HYPERLINK("https://klasma.github.io/Logging_2481/kartor/A 21668-2022 karta.png", "A 21668-2022")</f>
        <v/>
      </c>
      <c r="V113">
        <f>HYPERLINK("https://klasma.github.io/Logging_2481/klagomål/A 21668-2022 FSC-klagomål.docx", "A 21668-2022")</f>
        <v/>
      </c>
      <c r="W113">
        <f>HYPERLINK("https://klasma.github.io/Logging_2481/klagomålsmail/A 21668-2022 FSC-klagomål mail.docx", "A 21668-2022")</f>
        <v/>
      </c>
      <c r="X113">
        <f>HYPERLINK("https://klasma.github.io/Logging_2481/tillsyn/A 21668-2022 tillsynsbegäran.docx", "A 21668-2022")</f>
        <v/>
      </c>
      <c r="Y113">
        <f>HYPERLINK("https://klasma.github.io/Logging_2481/tillsynsmail/A 21668-2022 tillsynsbegäran mail.docx", "A 21668-2022")</f>
        <v/>
      </c>
    </row>
    <row r="114" ht="15" customHeight="1">
      <c r="A114" t="inlineStr">
        <is>
          <t>A 52683-2022</t>
        </is>
      </c>
      <c r="B114" s="1" t="n">
        <v>44874</v>
      </c>
      <c r="C114" s="1" t="n">
        <v>45831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24.8</v>
      </c>
      <c r="H114" t="n">
        <v>1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Rödvingetrast
Ögonpyrola</t>
        </is>
      </c>
      <c r="S114">
        <f>HYPERLINK("https://klasma.github.io/Logging_2481/artfynd/A 52683-2022 artfynd.xlsx", "A 52683-2022")</f>
        <v/>
      </c>
      <c r="T114">
        <f>HYPERLINK("https://klasma.github.io/Logging_2481/kartor/A 52683-2022 karta.png", "A 52683-2022")</f>
        <v/>
      </c>
      <c r="V114">
        <f>HYPERLINK("https://klasma.github.io/Logging_2481/klagomål/A 52683-2022 FSC-klagomål.docx", "A 52683-2022")</f>
        <v/>
      </c>
      <c r="W114">
        <f>HYPERLINK("https://klasma.github.io/Logging_2481/klagomålsmail/A 52683-2022 FSC-klagomål mail.docx", "A 52683-2022")</f>
        <v/>
      </c>
      <c r="X114">
        <f>HYPERLINK("https://klasma.github.io/Logging_2481/tillsyn/A 52683-2022 tillsynsbegäran.docx", "A 52683-2022")</f>
        <v/>
      </c>
      <c r="Y114">
        <f>HYPERLINK("https://klasma.github.io/Logging_2481/tillsynsmail/A 52683-2022 tillsynsbegäran mail.docx", "A 52683-2022")</f>
        <v/>
      </c>
      <c r="Z114">
        <f>HYPERLINK("https://klasma.github.io/Logging_2481/fåglar/A 52683-2022 prioriterade fågelarter.docx", "A 52683-2022")</f>
        <v/>
      </c>
    </row>
    <row r="115" ht="15" customHeight="1">
      <c r="A115" t="inlineStr">
        <is>
          <t>A 58624-2022</t>
        </is>
      </c>
      <c r="B115" s="1" t="n">
        <v>44902</v>
      </c>
      <c r="C115" s="1" t="n">
        <v>45831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3.2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Blanksvart spiklav
Vedflamlav</t>
        </is>
      </c>
      <c r="S115">
        <f>HYPERLINK("https://klasma.github.io/Logging_2481/artfynd/A 58624-2022 artfynd.xlsx", "A 58624-2022")</f>
        <v/>
      </c>
      <c r="T115">
        <f>HYPERLINK("https://klasma.github.io/Logging_2481/kartor/A 58624-2022 karta.png", "A 58624-2022")</f>
        <v/>
      </c>
      <c r="V115">
        <f>HYPERLINK("https://klasma.github.io/Logging_2481/klagomål/A 58624-2022 FSC-klagomål.docx", "A 58624-2022")</f>
        <v/>
      </c>
      <c r="W115">
        <f>HYPERLINK("https://klasma.github.io/Logging_2481/klagomålsmail/A 58624-2022 FSC-klagomål mail.docx", "A 58624-2022")</f>
        <v/>
      </c>
      <c r="X115">
        <f>HYPERLINK("https://klasma.github.io/Logging_2481/tillsyn/A 58624-2022 tillsynsbegäran.docx", "A 58624-2022")</f>
        <v/>
      </c>
      <c r="Y115">
        <f>HYPERLINK("https://klasma.github.io/Logging_2481/tillsynsmail/A 58624-2022 tillsynsbegäran mail.docx", "A 58624-2022")</f>
        <v/>
      </c>
    </row>
    <row r="116" ht="15" customHeight="1">
      <c r="A116" t="inlineStr">
        <is>
          <t>A 2893-2023</t>
        </is>
      </c>
      <c r="B116" s="1" t="n">
        <v>44945</v>
      </c>
      <c r="C116" s="1" t="n">
        <v>45831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Kyrkan</t>
        </is>
      </c>
      <c r="G116" t="n">
        <v>3.5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Garnlav
Dropptaggsvamp</t>
        </is>
      </c>
      <c r="S116">
        <f>HYPERLINK("https://klasma.github.io/Logging_2481/artfynd/A 2893-2023 artfynd.xlsx", "A 2893-2023")</f>
        <v/>
      </c>
      <c r="T116">
        <f>HYPERLINK("https://klasma.github.io/Logging_2481/kartor/A 2893-2023 karta.png", "A 2893-2023")</f>
        <v/>
      </c>
      <c r="V116">
        <f>HYPERLINK("https://klasma.github.io/Logging_2481/klagomål/A 2893-2023 FSC-klagomål.docx", "A 2893-2023")</f>
        <v/>
      </c>
      <c r="W116">
        <f>HYPERLINK("https://klasma.github.io/Logging_2481/klagomålsmail/A 2893-2023 FSC-klagomål mail.docx", "A 2893-2023")</f>
        <v/>
      </c>
      <c r="X116">
        <f>HYPERLINK("https://klasma.github.io/Logging_2481/tillsyn/A 2893-2023 tillsynsbegäran.docx", "A 2893-2023")</f>
        <v/>
      </c>
      <c r="Y116">
        <f>HYPERLINK("https://klasma.github.io/Logging_2481/tillsynsmail/A 2893-2023 tillsynsbegäran mail.docx", "A 2893-2023")</f>
        <v/>
      </c>
    </row>
    <row r="117" ht="15" customHeight="1">
      <c r="A117" t="inlineStr">
        <is>
          <t>A 6002-2023</t>
        </is>
      </c>
      <c r="B117" s="1" t="n">
        <v>44964</v>
      </c>
      <c r="C117" s="1" t="n">
        <v>45831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Kyrkan</t>
        </is>
      </c>
      <c r="G117" t="n">
        <v>15.7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Violettgrå tagellav</t>
        </is>
      </c>
      <c r="S117">
        <f>HYPERLINK("https://klasma.github.io/Logging_2481/artfynd/A 6002-2023 artfynd.xlsx", "A 6002-2023")</f>
        <v/>
      </c>
      <c r="T117">
        <f>HYPERLINK("https://klasma.github.io/Logging_2481/kartor/A 6002-2023 karta.png", "A 6002-2023")</f>
        <v/>
      </c>
      <c r="V117">
        <f>HYPERLINK("https://klasma.github.io/Logging_2481/klagomål/A 6002-2023 FSC-klagomål.docx", "A 6002-2023")</f>
        <v/>
      </c>
      <c r="W117">
        <f>HYPERLINK("https://klasma.github.io/Logging_2481/klagomålsmail/A 6002-2023 FSC-klagomål mail.docx", "A 6002-2023")</f>
        <v/>
      </c>
      <c r="X117">
        <f>HYPERLINK("https://klasma.github.io/Logging_2481/tillsyn/A 6002-2023 tillsynsbegäran.docx", "A 6002-2023")</f>
        <v/>
      </c>
      <c r="Y117">
        <f>HYPERLINK("https://klasma.github.io/Logging_2481/tillsynsmail/A 6002-2023 tillsynsbegäran mail.docx", "A 6002-2023")</f>
        <v/>
      </c>
    </row>
    <row r="118" ht="15" customHeight="1">
      <c r="A118" t="inlineStr">
        <is>
          <t>A 7670-2023</t>
        </is>
      </c>
      <c r="B118" s="1" t="n">
        <v>44972</v>
      </c>
      <c r="C118" s="1" t="n">
        <v>45831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0.8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Dropptaggsvamp</t>
        </is>
      </c>
      <c r="S118">
        <f>HYPERLINK("https://klasma.github.io/Logging_2481/artfynd/A 7670-2023 artfynd.xlsx", "A 7670-2023")</f>
        <v/>
      </c>
      <c r="T118">
        <f>HYPERLINK("https://klasma.github.io/Logging_2481/kartor/A 7670-2023 karta.png", "A 7670-2023")</f>
        <v/>
      </c>
      <c r="V118">
        <f>HYPERLINK("https://klasma.github.io/Logging_2481/klagomål/A 7670-2023 FSC-klagomål.docx", "A 7670-2023")</f>
        <v/>
      </c>
      <c r="W118">
        <f>HYPERLINK("https://klasma.github.io/Logging_2481/klagomålsmail/A 7670-2023 FSC-klagomål mail.docx", "A 7670-2023")</f>
        <v/>
      </c>
      <c r="X118">
        <f>HYPERLINK("https://klasma.github.io/Logging_2481/tillsyn/A 7670-2023 tillsynsbegäran.docx", "A 7670-2023")</f>
        <v/>
      </c>
      <c r="Y118">
        <f>HYPERLINK("https://klasma.github.io/Logging_2481/tillsynsmail/A 7670-2023 tillsynsbegäran mail.docx", "A 7670-2023")</f>
        <v/>
      </c>
    </row>
    <row r="119" ht="15" customHeight="1">
      <c r="A119" t="inlineStr">
        <is>
          <t>A 15197-2023</t>
        </is>
      </c>
      <c r="B119" s="1" t="n">
        <v>45016</v>
      </c>
      <c r="C119" s="1" t="n">
        <v>45831</v>
      </c>
      <c r="D119" t="inlineStr">
        <is>
          <t>VÄSTERBOTTENS LÄN</t>
        </is>
      </c>
      <c r="E119" t="inlineStr">
        <is>
          <t>LYCKSELE</t>
        </is>
      </c>
      <c r="G119" t="n">
        <v>11.2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Vaddporing
Dropptaggsvamp</t>
        </is>
      </c>
      <c r="S119">
        <f>HYPERLINK("https://klasma.github.io/Logging_2481/artfynd/A 15197-2023 artfynd.xlsx", "A 15197-2023")</f>
        <v/>
      </c>
      <c r="T119">
        <f>HYPERLINK("https://klasma.github.io/Logging_2481/kartor/A 15197-2023 karta.png", "A 15197-2023")</f>
        <v/>
      </c>
      <c r="V119">
        <f>HYPERLINK("https://klasma.github.io/Logging_2481/klagomål/A 15197-2023 FSC-klagomål.docx", "A 15197-2023")</f>
        <v/>
      </c>
      <c r="W119">
        <f>HYPERLINK("https://klasma.github.io/Logging_2481/klagomålsmail/A 15197-2023 FSC-klagomål mail.docx", "A 15197-2023")</f>
        <v/>
      </c>
      <c r="X119">
        <f>HYPERLINK("https://klasma.github.io/Logging_2481/tillsyn/A 15197-2023 tillsynsbegäran.docx", "A 15197-2023")</f>
        <v/>
      </c>
      <c r="Y119">
        <f>HYPERLINK("https://klasma.github.io/Logging_2481/tillsynsmail/A 15197-2023 tillsynsbegäran mail.docx", "A 15197-2023")</f>
        <v/>
      </c>
    </row>
    <row r="120" ht="15" customHeight="1">
      <c r="A120" t="inlineStr">
        <is>
          <t>A 28515-2023</t>
        </is>
      </c>
      <c r="B120" s="1" t="n">
        <v>45103</v>
      </c>
      <c r="C120" s="1" t="n">
        <v>45831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10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Lunglav
Tallticka</t>
        </is>
      </c>
      <c r="S120">
        <f>HYPERLINK("https://klasma.github.io/Logging_2481/artfynd/A 28515-2023 artfynd.xlsx", "A 28515-2023")</f>
        <v/>
      </c>
      <c r="T120">
        <f>HYPERLINK("https://klasma.github.io/Logging_2481/kartor/A 28515-2023 karta.png", "A 28515-2023")</f>
        <v/>
      </c>
      <c r="V120">
        <f>HYPERLINK("https://klasma.github.io/Logging_2481/klagomål/A 28515-2023 FSC-klagomål.docx", "A 28515-2023")</f>
        <v/>
      </c>
      <c r="W120">
        <f>HYPERLINK("https://klasma.github.io/Logging_2481/klagomålsmail/A 28515-2023 FSC-klagomål mail.docx", "A 28515-2023")</f>
        <v/>
      </c>
      <c r="X120">
        <f>HYPERLINK("https://klasma.github.io/Logging_2481/tillsyn/A 28515-2023 tillsynsbegäran.docx", "A 28515-2023")</f>
        <v/>
      </c>
      <c r="Y120">
        <f>HYPERLINK("https://klasma.github.io/Logging_2481/tillsynsmail/A 28515-2023 tillsynsbegäran mail.docx", "A 28515-2023")</f>
        <v/>
      </c>
    </row>
    <row r="121" ht="15" customHeight="1">
      <c r="A121" t="inlineStr">
        <is>
          <t>A 34870-2023</t>
        </is>
      </c>
      <c r="B121" s="1" t="n">
        <v>45142</v>
      </c>
      <c r="C121" s="1" t="n">
        <v>45831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10.9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Mörk kolflarnlav</t>
        </is>
      </c>
      <c r="S121">
        <f>HYPERLINK("https://klasma.github.io/Logging_2481/artfynd/A 34870-2023 artfynd.xlsx", "A 34870-2023")</f>
        <v/>
      </c>
      <c r="T121">
        <f>HYPERLINK("https://klasma.github.io/Logging_2481/kartor/A 34870-2023 karta.png", "A 34870-2023")</f>
        <v/>
      </c>
      <c r="V121">
        <f>HYPERLINK("https://klasma.github.io/Logging_2481/klagomål/A 34870-2023 FSC-klagomål.docx", "A 34870-2023")</f>
        <v/>
      </c>
      <c r="W121">
        <f>HYPERLINK("https://klasma.github.io/Logging_2481/klagomålsmail/A 34870-2023 FSC-klagomål mail.docx", "A 34870-2023")</f>
        <v/>
      </c>
      <c r="X121">
        <f>HYPERLINK("https://klasma.github.io/Logging_2481/tillsyn/A 34870-2023 tillsynsbegäran.docx", "A 34870-2023")</f>
        <v/>
      </c>
      <c r="Y121">
        <f>HYPERLINK("https://klasma.github.io/Logging_2481/tillsynsmail/A 34870-2023 tillsynsbegäran mail.docx", "A 34870-2023")</f>
        <v/>
      </c>
    </row>
    <row r="122" ht="15" customHeight="1">
      <c r="A122" t="inlineStr">
        <is>
          <t>A 38430-2023</t>
        </is>
      </c>
      <c r="B122" s="1" t="n">
        <v>45162</v>
      </c>
      <c r="C122" s="1" t="n">
        <v>45831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13.7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Kolflarnlav
Dropptaggsvamp</t>
        </is>
      </c>
      <c r="S122">
        <f>HYPERLINK("https://klasma.github.io/Logging_2481/artfynd/A 38430-2023 artfynd.xlsx", "A 38430-2023")</f>
        <v/>
      </c>
      <c r="T122">
        <f>HYPERLINK("https://klasma.github.io/Logging_2481/kartor/A 38430-2023 karta.png", "A 38430-2023")</f>
        <v/>
      </c>
      <c r="V122">
        <f>HYPERLINK("https://klasma.github.io/Logging_2481/klagomål/A 38430-2023 FSC-klagomål.docx", "A 38430-2023")</f>
        <v/>
      </c>
      <c r="W122">
        <f>HYPERLINK("https://klasma.github.io/Logging_2481/klagomålsmail/A 38430-2023 FSC-klagomål mail.docx", "A 38430-2023")</f>
        <v/>
      </c>
      <c r="X122">
        <f>HYPERLINK("https://klasma.github.io/Logging_2481/tillsyn/A 38430-2023 tillsynsbegäran.docx", "A 38430-2023")</f>
        <v/>
      </c>
      <c r="Y122">
        <f>HYPERLINK("https://klasma.github.io/Logging_2481/tillsynsmail/A 38430-2023 tillsynsbegäran mail.docx", "A 38430-2023")</f>
        <v/>
      </c>
    </row>
    <row r="123" ht="15" customHeight="1">
      <c r="A123" t="inlineStr">
        <is>
          <t>A 38475-2023</t>
        </is>
      </c>
      <c r="B123" s="1" t="n">
        <v>45162</v>
      </c>
      <c r="C123" s="1" t="n">
        <v>45831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Blå taggsvamp
Mörk kolflarnlav</t>
        </is>
      </c>
      <c r="S123">
        <f>HYPERLINK("https://klasma.github.io/Logging_2481/artfynd/A 38475-2023 artfynd.xlsx", "A 38475-2023")</f>
        <v/>
      </c>
      <c r="T123">
        <f>HYPERLINK("https://klasma.github.io/Logging_2481/kartor/A 38475-2023 karta.png", "A 38475-2023")</f>
        <v/>
      </c>
      <c r="V123">
        <f>HYPERLINK("https://klasma.github.io/Logging_2481/klagomål/A 38475-2023 FSC-klagomål.docx", "A 38475-2023")</f>
        <v/>
      </c>
      <c r="W123">
        <f>HYPERLINK("https://klasma.github.io/Logging_2481/klagomålsmail/A 38475-2023 FSC-klagomål mail.docx", "A 38475-2023")</f>
        <v/>
      </c>
      <c r="X123">
        <f>HYPERLINK("https://klasma.github.io/Logging_2481/tillsyn/A 38475-2023 tillsynsbegäran.docx", "A 38475-2023")</f>
        <v/>
      </c>
      <c r="Y123">
        <f>HYPERLINK("https://klasma.github.io/Logging_2481/tillsynsmail/A 38475-2023 tillsynsbegäran mail.docx", "A 38475-2023")</f>
        <v/>
      </c>
    </row>
    <row r="124" ht="15" customHeight="1">
      <c r="A124" t="inlineStr">
        <is>
          <t>A 41449-2023</t>
        </is>
      </c>
      <c r="B124" s="1" t="n">
        <v>45175</v>
      </c>
      <c r="C124" s="1" t="n">
        <v>45831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4.4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Kolflarnlav
Dropptaggsvamp</t>
        </is>
      </c>
      <c r="S124">
        <f>HYPERLINK("https://klasma.github.io/Logging_2481/artfynd/A 41449-2023 artfynd.xlsx", "A 41449-2023")</f>
        <v/>
      </c>
      <c r="T124">
        <f>HYPERLINK("https://klasma.github.io/Logging_2481/kartor/A 41449-2023 karta.png", "A 41449-2023")</f>
        <v/>
      </c>
      <c r="V124">
        <f>HYPERLINK("https://klasma.github.io/Logging_2481/klagomål/A 41449-2023 FSC-klagomål.docx", "A 41449-2023")</f>
        <v/>
      </c>
      <c r="W124">
        <f>HYPERLINK("https://klasma.github.io/Logging_2481/klagomålsmail/A 41449-2023 FSC-klagomål mail.docx", "A 41449-2023")</f>
        <v/>
      </c>
      <c r="X124">
        <f>HYPERLINK("https://klasma.github.io/Logging_2481/tillsyn/A 41449-2023 tillsynsbegäran.docx", "A 41449-2023")</f>
        <v/>
      </c>
      <c r="Y124">
        <f>HYPERLINK("https://klasma.github.io/Logging_2481/tillsynsmail/A 41449-2023 tillsynsbegäran mail.docx", "A 41449-2023")</f>
        <v/>
      </c>
    </row>
    <row r="125" ht="15" customHeight="1">
      <c r="A125" t="inlineStr">
        <is>
          <t>A 47038-2023</t>
        </is>
      </c>
      <c r="B125" s="1" t="n">
        <v>45201</v>
      </c>
      <c r="C125" s="1" t="n">
        <v>45831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8.800000000000001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Motaggsvamp
Dropptaggsvamp</t>
        </is>
      </c>
      <c r="S125">
        <f>HYPERLINK("https://klasma.github.io/Logging_2481/artfynd/A 47038-2023 artfynd.xlsx", "A 47038-2023")</f>
        <v/>
      </c>
      <c r="T125">
        <f>HYPERLINK("https://klasma.github.io/Logging_2481/kartor/A 47038-2023 karta.png", "A 47038-2023")</f>
        <v/>
      </c>
      <c r="V125">
        <f>HYPERLINK("https://klasma.github.io/Logging_2481/klagomål/A 47038-2023 FSC-klagomål.docx", "A 47038-2023")</f>
        <v/>
      </c>
      <c r="W125">
        <f>HYPERLINK("https://klasma.github.io/Logging_2481/klagomålsmail/A 47038-2023 FSC-klagomål mail.docx", "A 47038-2023")</f>
        <v/>
      </c>
      <c r="X125">
        <f>HYPERLINK("https://klasma.github.io/Logging_2481/tillsyn/A 47038-2023 tillsynsbegäran.docx", "A 47038-2023")</f>
        <v/>
      </c>
      <c r="Y125">
        <f>HYPERLINK("https://klasma.github.io/Logging_2481/tillsynsmail/A 47038-2023 tillsynsbegäran mail.docx", "A 47038-2023")</f>
        <v/>
      </c>
    </row>
    <row r="126" ht="15" customHeight="1">
      <c r="A126" t="inlineStr">
        <is>
          <t>A 47041-2023</t>
        </is>
      </c>
      <c r="B126" s="1" t="n">
        <v>45201</v>
      </c>
      <c r="C126" s="1" t="n">
        <v>45831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7.5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Kolflarnlav
Dropptaggsvamp</t>
        </is>
      </c>
      <c r="S126">
        <f>HYPERLINK("https://klasma.github.io/Logging_2481/artfynd/A 47041-2023 artfynd.xlsx", "A 47041-2023")</f>
        <v/>
      </c>
      <c r="T126">
        <f>HYPERLINK("https://klasma.github.io/Logging_2481/kartor/A 47041-2023 karta.png", "A 47041-2023")</f>
        <v/>
      </c>
      <c r="V126">
        <f>HYPERLINK("https://klasma.github.io/Logging_2481/klagomål/A 47041-2023 FSC-klagomål.docx", "A 47041-2023")</f>
        <v/>
      </c>
      <c r="W126">
        <f>HYPERLINK("https://klasma.github.io/Logging_2481/klagomålsmail/A 47041-2023 FSC-klagomål mail.docx", "A 47041-2023")</f>
        <v/>
      </c>
      <c r="X126">
        <f>HYPERLINK("https://klasma.github.io/Logging_2481/tillsyn/A 47041-2023 tillsynsbegäran.docx", "A 47041-2023")</f>
        <v/>
      </c>
      <c r="Y126">
        <f>HYPERLINK("https://klasma.github.io/Logging_2481/tillsynsmail/A 47041-2023 tillsynsbegäran mail.docx", "A 47041-2023")</f>
        <v/>
      </c>
    </row>
    <row r="127" ht="15" customHeight="1">
      <c r="A127" t="inlineStr">
        <is>
          <t>A 53809-2023</t>
        </is>
      </c>
      <c r="B127" s="1" t="n">
        <v>45231</v>
      </c>
      <c r="C127" s="1" t="n">
        <v>45831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25.1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Skrovlig taggsvamp
Stuplav</t>
        </is>
      </c>
      <c r="S127">
        <f>HYPERLINK("https://klasma.github.io/Logging_2481/artfynd/A 53809-2023 artfynd.xlsx", "A 53809-2023")</f>
        <v/>
      </c>
      <c r="T127">
        <f>HYPERLINK("https://klasma.github.io/Logging_2481/kartor/A 53809-2023 karta.png", "A 53809-2023")</f>
        <v/>
      </c>
      <c r="V127">
        <f>HYPERLINK("https://klasma.github.io/Logging_2481/klagomål/A 53809-2023 FSC-klagomål.docx", "A 53809-2023")</f>
        <v/>
      </c>
      <c r="W127">
        <f>HYPERLINK("https://klasma.github.io/Logging_2481/klagomålsmail/A 53809-2023 FSC-klagomål mail.docx", "A 53809-2023")</f>
        <v/>
      </c>
      <c r="X127">
        <f>HYPERLINK("https://klasma.github.io/Logging_2481/tillsyn/A 53809-2023 tillsynsbegäran.docx", "A 53809-2023")</f>
        <v/>
      </c>
      <c r="Y127">
        <f>HYPERLINK("https://klasma.github.io/Logging_2481/tillsynsmail/A 53809-2023 tillsynsbegäran mail.docx", "A 53809-2023")</f>
        <v/>
      </c>
    </row>
    <row r="128" ht="15" customHeight="1">
      <c r="A128" t="inlineStr">
        <is>
          <t>A 7215-2024</t>
        </is>
      </c>
      <c r="B128" s="1" t="n">
        <v>45344</v>
      </c>
      <c r="C128" s="1" t="n">
        <v>45831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4.3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Gammelgransskål
Bronshjon</t>
        </is>
      </c>
      <c r="S128">
        <f>HYPERLINK("https://klasma.github.io/Logging_2481/artfynd/A 7215-2024 artfynd.xlsx", "A 7215-2024")</f>
        <v/>
      </c>
      <c r="T128">
        <f>HYPERLINK("https://klasma.github.io/Logging_2481/kartor/A 7215-2024 karta.png", "A 7215-2024")</f>
        <v/>
      </c>
      <c r="V128">
        <f>HYPERLINK("https://klasma.github.io/Logging_2481/klagomål/A 7215-2024 FSC-klagomål.docx", "A 7215-2024")</f>
        <v/>
      </c>
      <c r="W128">
        <f>HYPERLINK("https://klasma.github.io/Logging_2481/klagomålsmail/A 7215-2024 FSC-klagomål mail.docx", "A 7215-2024")</f>
        <v/>
      </c>
      <c r="X128">
        <f>HYPERLINK("https://klasma.github.io/Logging_2481/tillsyn/A 7215-2024 tillsynsbegäran.docx", "A 7215-2024")</f>
        <v/>
      </c>
      <c r="Y128">
        <f>HYPERLINK("https://klasma.github.io/Logging_2481/tillsynsmail/A 7215-2024 tillsynsbegäran mail.docx", "A 7215-2024")</f>
        <v/>
      </c>
    </row>
    <row r="129" ht="15" customHeight="1">
      <c r="A129" t="inlineStr">
        <is>
          <t>A 9924-2024</t>
        </is>
      </c>
      <c r="B129" s="1" t="n">
        <v>45363</v>
      </c>
      <c r="C129" s="1" t="n">
        <v>45831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5.3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Granticka
Kolflarnlav</t>
        </is>
      </c>
      <c r="S129">
        <f>HYPERLINK("https://klasma.github.io/Logging_2481/artfynd/A 9924-2024 artfynd.xlsx", "A 9924-2024")</f>
        <v/>
      </c>
      <c r="T129">
        <f>HYPERLINK("https://klasma.github.io/Logging_2481/kartor/A 9924-2024 karta.png", "A 9924-2024")</f>
        <v/>
      </c>
      <c r="V129">
        <f>HYPERLINK("https://klasma.github.io/Logging_2481/klagomål/A 9924-2024 FSC-klagomål.docx", "A 9924-2024")</f>
        <v/>
      </c>
      <c r="W129">
        <f>HYPERLINK("https://klasma.github.io/Logging_2481/klagomålsmail/A 9924-2024 FSC-klagomål mail.docx", "A 9924-2024")</f>
        <v/>
      </c>
      <c r="X129">
        <f>HYPERLINK("https://klasma.github.io/Logging_2481/tillsyn/A 9924-2024 tillsynsbegäran.docx", "A 9924-2024")</f>
        <v/>
      </c>
      <c r="Y129">
        <f>HYPERLINK("https://klasma.github.io/Logging_2481/tillsynsmail/A 9924-2024 tillsynsbegäran mail.docx", "A 9924-2024")</f>
        <v/>
      </c>
    </row>
    <row r="130" ht="15" customHeight="1">
      <c r="A130" t="inlineStr">
        <is>
          <t>A 11443-2024</t>
        </is>
      </c>
      <c r="B130" s="1" t="n">
        <v>45372</v>
      </c>
      <c r="C130" s="1" t="n">
        <v>45831</v>
      </c>
      <c r="D130" t="inlineStr">
        <is>
          <t>VÄSTERBOTTENS LÄN</t>
        </is>
      </c>
      <c r="E130" t="inlineStr">
        <is>
          <t>LYCKSELE</t>
        </is>
      </c>
      <c r="G130" t="n">
        <v>2.2</v>
      </c>
      <c r="H130" t="n">
        <v>1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Dropptaggsvamp
Plattlummer</t>
        </is>
      </c>
      <c r="S130">
        <f>HYPERLINK("https://klasma.github.io/Logging_2481/artfynd/A 11443-2024 artfynd.xlsx", "A 11443-2024")</f>
        <v/>
      </c>
      <c r="T130">
        <f>HYPERLINK("https://klasma.github.io/Logging_2481/kartor/A 11443-2024 karta.png", "A 11443-2024")</f>
        <v/>
      </c>
      <c r="V130">
        <f>HYPERLINK("https://klasma.github.io/Logging_2481/klagomål/A 11443-2024 FSC-klagomål.docx", "A 11443-2024")</f>
        <v/>
      </c>
      <c r="W130">
        <f>HYPERLINK("https://klasma.github.io/Logging_2481/klagomålsmail/A 11443-2024 FSC-klagomål mail.docx", "A 11443-2024")</f>
        <v/>
      </c>
      <c r="X130">
        <f>HYPERLINK("https://klasma.github.io/Logging_2481/tillsyn/A 11443-2024 tillsynsbegäran.docx", "A 11443-2024")</f>
        <v/>
      </c>
      <c r="Y130">
        <f>HYPERLINK("https://klasma.github.io/Logging_2481/tillsynsmail/A 11443-2024 tillsynsbegäran mail.docx", "A 11443-2024")</f>
        <v/>
      </c>
    </row>
    <row r="131" ht="15" customHeight="1">
      <c r="A131" t="inlineStr">
        <is>
          <t>A 16914-2024</t>
        </is>
      </c>
      <c r="B131" s="1" t="n">
        <v>45411</v>
      </c>
      <c r="C131" s="1" t="n">
        <v>45831</v>
      </c>
      <c r="D131" t="inlineStr">
        <is>
          <t>VÄSTERBOTTENS LÄN</t>
        </is>
      </c>
      <c r="E131" t="inlineStr">
        <is>
          <t>LYCKSELE</t>
        </is>
      </c>
      <c r="G131" t="n">
        <v>24.6</v>
      </c>
      <c r="H131" t="n">
        <v>2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Tretåig hackspett
Lavskrika</t>
        </is>
      </c>
      <c r="S131">
        <f>HYPERLINK("https://klasma.github.io/Logging_2481/artfynd/A 16914-2024 artfynd.xlsx", "A 16914-2024")</f>
        <v/>
      </c>
      <c r="T131">
        <f>HYPERLINK("https://klasma.github.io/Logging_2481/kartor/A 16914-2024 karta.png", "A 16914-2024")</f>
        <v/>
      </c>
      <c r="V131">
        <f>HYPERLINK("https://klasma.github.io/Logging_2481/klagomål/A 16914-2024 FSC-klagomål.docx", "A 16914-2024")</f>
        <v/>
      </c>
      <c r="W131">
        <f>HYPERLINK("https://klasma.github.io/Logging_2481/klagomålsmail/A 16914-2024 FSC-klagomål mail.docx", "A 16914-2024")</f>
        <v/>
      </c>
      <c r="X131">
        <f>HYPERLINK("https://klasma.github.io/Logging_2481/tillsyn/A 16914-2024 tillsynsbegäran.docx", "A 16914-2024")</f>
        <v/>
      </c>
      <c r="Y131">
        <f>HYPERLINK("https://klasma.github.io/Logging_2481/tillsynsmail/A 16914-2024 tillsynsbegäran mail.docx", "A 16914-2024")</f>
        <v/>
      </c>
      <c r="Z131">
        <f>HYPERLINK("https://klasma.github.io/Logging_2481/fåglar/A 16914-2024 prioriterade fågelarter.docx", "A 16914-2024")</f>
        <v/>
      </c>
    </row>
    <row r="132" ht="15" customHeight="1">
      <c r="A132" t="inlineStr">
        <is>
          <t>A 24826-2024</t>
        </is>
      </c>
      <c r="B132" s="1" t="n">
        <v>45461</v>
      </c>
      <c r="C132" s="1" t="n">
        <v>45831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5.7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Lunglav
Stuplav</t>
        </is>
      </c>
      <c r="S132">
        <f>HYPERLINK("https://klasma.github.io/Logging_2481/artfynd/A 24826-2024 artfynd.xlsx", "A 24826-2024")</f>
        <v/>
      </c>
      <c r="T132">
        <f>HYPERLINK("https://klasma.github.io/Logging_2481/kartor/A 24826-2024 karta.png", "A 24826-2024")</f>
        <v/>
      </c>
      <c r="V132">
        <f>HYPERLINK("https://klasma.github.io/Logging_2481/klagomål/A 24826-2024 FSC-klagomål.docx", "A 24826-2024")</f>
        <v/>
      </c>
      <c r="W132">
        <f>HYPERLINK("https://klasma.github.io/Logging_2481/klagomålsmail/A 24826-2024 FSC-klagomål mail.docx", "A 24826-2024")</f>
        <v/>
      </c>
      <c r="X132">
        <f>HYPERLINK("https://klasma.github.io/Logging_2481/tillsyn/A 24826-2024 tillsynsbegäran.docx", "A 24826-2024")</f>
        <v/>
      </c>
      <c r="Y132">
        <f>HYPERLINK("https://klasma.github.io/Logging_2481/tillsynsmail/A 24826-2024 tillsynsbegäran mail.docx", "A 24826-2024")</f>
        <v/>
      </c>
    </row>
    <row r="133" ht="15" customHeight="1">
      <c r="A133" t="inlineStr">
        <is>
          <t>A 27698-2024</t>
        </is>
      </c>
      <c r="B133" s="1" t="n">
        <v>45475</v>
      </c>
      <c r="C133" s="1" t="n">
        <v>45831</v>
      </c>
      <c r="D133" t="inlineStr">
        <is>
          <t>VÄSTERBOTTENS LÄN</t>
        </is>
      </c>
      <c r="E133" t="inlineStr">
        <is>
          <t>LYCKSELE</t>
        </is>
      </c>
      <c r="G133" t="n">
        <v>13.8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Blå taggsvamp
Dropptaggsvamp</t>
        </is>
      </c>
      <c r="S133">
        <f>HYPERLINK("https://klasma.github.io/Logging_2481/artfynd/A 27698-2024 artfynd.xlsx", "A 27698-2024")</f>
        <v/>
      </c>
      <c r="T133">
        <f>HYPERLINK("https://klasma.github.io/Logging_2481/kartor/A 27698-2024 karta.png", "A 27698-2024")</f>
        <v/>
      </c>
      <c r="V133">
        <f>HYPERLINK("https://klasma.github.io/Logging_2481/klagomål/A 27698-2024 FSC-klagomål.docx", "A 27698-2024")</f>
        <v/>
      </c>
      <c r="W133">
        <f>HYPERLINK("https://klasma.github.io/Logging_2481/klagomålsmail/A 27698-2024 FSC-klagomål mail.docx", "A 27698-2024")</f>
        <v/>
      </c>
      <c r="X133">
        <f>HYPERLINK("https://klasma.github.io/Logging_2481/tillsyn/A 27698-2024 tillsynsbegäran.docx", "A 27698-2024")</f>
        <v/>
      </c>
      <c r="Y133">
        <f>HYPERLINK("https://klasma.github.io/Logging_2481/tillsynsmail/A 27698-2024 tillsynsbegäran mail.docx", "A 27698-2024")</f>
        <v/>
      </c>
    </row>
    <row r="134" ht="15" customHeight="1">
      <c r="A134" t="inlineStr">
        <is>
          <t>A 32731-2024</t>
        </is>
      </c>
      <c r="B134" s="1" t="n">
        <v>45516</v>
      </c>
      <c r="C134" s="1" t="n">
        <v>45831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4.8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Blå taggsvamp
Kolflarnlav</t>
        </is>
      </c>
      <c r="S134">
        <f>HYPERLINK("https://klasma.github.io/Logging_2481/artfynd/A 32731-2024 artfynd.xlsx", "A 32731-2024")</f>
        <v/>
      </c>
      <c r="T134">
        <f>HYPERLINK("https://klasma.github.io/Logging_2481/kartor/A 32731-2024 karta.png", "A 32731-2024")</f>
        <v/>
      </c>
      <c r="V134">
        <f>HYPERLINK("https://klasma.github.io/Logging_2481/klagomål/A 32731-2024 FSC-klagomål.docx", "A 32731-2024")</f>
        <v/>
      </c>
      <c r="W134">
        <f>HYPERLINK("https://klasma.github.io/Logging_2481/klagomålsmail/A 32731-2024 FSC-klagomål mail.docx", "A 32731-2024")</f>
        <v/>
      </c>
      <c r="X134">
        <f>HYPERLINK("https://klasma.github.io/Logging_2481/tillsyn/A 32731-2024 tillsynsbegäran.docx", "A 32731-2024")</f>
        <v/>
      </c>
      <c r="Y134">
        <f>HYPERLINK("https://klasma.github.io/Logging_2481/tillsynsmail/A 32731-2024 tillsynsbegäran mail.docx", "A 32731-2024")</f>
        <v/>
      </c>
    </row>
    <row r="135" ht="15" customHeight="1">
      <c r="A135" t="inlineStr">
        <is>
          <t>A 33748-2024</t>
        </is>
      </c>
      <c r="B135" s="1" t="n">
        <v>45520</v>
      </c>
      <c r="C135" s="1" t="n">
        <v>45831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4.5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Blå taggsvamp
Skarp dropptaggsvamp</t>
        </is>
      </c>
      <c r="S135">
        <f>HYPERLINK("https://klasma.github.io/Logging_2481/artfynd/A 33748-2024 artfynd.xlsx", "A 33748-2024")</f>
        <v/>
      </c>
      <c r="T135">
        <f>HYPERLINK("https://klasma.github.io/Logging_2481/kartor/A 33748-2024 karta.png", "A 33748-2024")</f>
        <v/>
      </c>
      <c r="V135">
        <f>HYPERLINK("https://klasma.github.io/Logging_2481/klagomål/A 33748-2024 FSC-klagomål.docx", "A 33748-2024")</f>
        <v/>
      </c>
      <c r="W135">
        <f>HYPERLINK("https://klasma.github.io/Logging_2481/klagomålsmail/A 33748-2024 FSC-klagomål mail.docx", "A 33748-2024")</f>
        <v/>
      </c>
      <c r="X135">
        <f>HYPERLINK("https://klasma.github.io/Logging_2481/tillsyn/A 33748-2024 tillsynsbegäran.docx", "A 33748-2024")</f>
        <v/>
      </c>
      <c r="Y135">
        <f>HYPERLINK("https://klasma.github.io/Logging_2481/tillsynsmail/A 33748-2024 tillsynsbegäran mail.docx", "A 33748-2024")</f>
        <v/>
      </c>
    </row>
    <row r="136" ht="15" customHeight="1">
      <c r="A136" t="inlineStr">
        <is>
          <t>A 37548-2024</t>
        </is>
      </c>
      <c r="B136" s="1" t="n">
        <v>45541</v>
      </c>
      <c r="C136" s="1" t="n">
        <v>45831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13.5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Kolflarnlav
Skarp dropptaggsvamp</t>
        </is>
      </c>
      <c r="S136">
        <f>HYPERLINK("https://klasma.github.io/Logging_2481/artfynd/A 37548-2024 artfynd.xlsx", "A 37548-2024")</f>
        <v/>
      </c>
      <c r="T136">
        <f>HYPERLINK("https://klasma.github.io/Logging_2481/kartor/A 37548-2024 karta.png", "A 37548-2024")</f>
        <v/>
      </c>
      <c r="V136">
        <f>HYPERLINK("https://klasma.github.io/Logging_2481/klagomål/A 37548-2024 FSC-klagomål.docx", "A 37548-2024")</f>
        <v/>
      </c>
      <c r="W136">
        <f>HYPERLINK("https://klasma.github.io/Logging_2481/klagomålsmail/A 37548-2024 FSC-klagomål mail.docx", "A 37548-2024")</f>
        <v/>
      </c>
      <c r="X136">
        <f>HYPERLINK("https://klasma.github.io/Logging_2481/tillsyn/A 37548-2024 tillsynsbegäran.docx", "A 37548-2024")</f>
        <v/>
      </c>
      <c r="Y136">
        <f>HYPERLINK("https://klasma.github.io/Logging_2481/tillsynsmail/A 37548-2024 tillsynsbegäran mail.docx", "A 37548-2024")</f>
        <v/>
      </c>
    </row>
    <row r="137" ht="15" customHeight="1">
      <c r="A137" t="inlineStr">
        <is>
          <t>A 41223-2024</t>
        </is>
      </c>
      <c r="B137" s="1" t="n">
        <v>45559</v>
      </c>
      <c r="C137" s="1" t="n">
        <v>45831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5.4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Garnlav
Violettgrå tagellav</t>
        </is>
      </c>
      <c r="S137">
        <f>HYPERLINK("https://klasma.github.io/Logging_2481/artfynd/A 41223-2024 artfynd.xlsx", "A 41223-2024")</f>
        <v/>
      </c>
      <c r="T137">
        <f>HYPERLINK("https://klasma.github.io/Logging_2481/kartor/A 41223-2024 karta.png", "A 41223-2024")</f>
        <v/>
      </c>
      <c r="V137">
        <f>HYPERLINK("https://klasma.github.io/Logging_2481/klagomål/A 41223-2024 FSC-klagomål.docx", "A 41223-2024")</f>
        <v/>
      </c>
      <c r="W137">
        <f>HYPERLINK("https://klasma.github.io/Logging_2481/klagomålsmail/A 41223-2024 FSC-klagomål mail.docx", "A 41223-2024")</f>
        <v/>
      </c>
      <c r="X137">
        <f>HYPERLINK("https://klasma.github.io/Logging_2481/tillsyn/A 41223-2024 tillsynsbegäran.docx", "A 41223-2024")</f>
        <v/>
      </c>
      <c r="Y137">
        <f>HYPERLINK("https://klasma.github.io/Logging_2481/tillsynsmail/A 41223-2024 tillsynsbegäran mail.docx", "A 41223-2024")</f>
        <v/>
      </c>
    </row>
    <row r="138" ht="15" customHeight="1">
      <c r="A138" t="inlineStr">
        <is>
          <t>A 41471-2024</t>
        </is>
      </c>
      <c r="B138" s="1" t="n">
        <v>45560</v>
      </c>
      <c r="C138" s="1" t="n">
        <v>45831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24.5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Blå taggsvamp
Orange taggsvamp</t>
        </is>
      </c>
      <c r="S138">
        <f>HYPERLINK("https://klasma.github.io/Logging_2481/artfynd/A 41471-2024 artfynd.xlsx", "A 41471-2024")</f>
        <v/>
      </c>
      <c r="T138">
        <f>HYPERLINK("https://klasma.github.io/Logging_2481/kartor/A 41471-2024 karta.png", "A 41471-2024")</f>
        <v/>
      </c>
      <c r="V138">
        <f>HYPERLINK("https://klasma.github.io/Logging_2481/klagomål/A 41471-2024 FSC-klagomål.docx", "A 41471-2024")</f>
        <v/>
      </c>
      <c r="W138">
        <f>HYPERLINK("https://klasma.github.io/Logging_2481/klagomålsmail/A 41471-2024 FSC-klagomål mail.docx", "A 41471-2024")</f>
        <v/>
      </c>
      <c r="X138">
        <f>HYPERLINK("https://klasma.github.io/Logging_2481/tillsyn/A 41471-2024 tillsynsbegäran.docx", "A 41471-2024")</f>
        <v/>
      </c>
      <c r="Y138">
        <f>HYPERLINK("https://klasma.github.io/Logging_2481/tillsynsmail/A 41471-2024 tillsynsbegäran mail.docx", "A 41471-2024")</f>
        <v/>
      </c>
    </row>
    <row r="139" ht="15" customHeight="1">
      <c r="A139" t="inlineStr">
        <is>
          <t>A 43154-2024</t>
        </is>
      </c>
      <c r="B139" s="1" t="n">
        <v>45567</v>
      </c>
      <c r="C139" s="1" t="n">
        <v>45831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8.199999999999999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Blanksvart spiklav
Dropptaggsvamp</t>
        </is>
      </c>
      <c r="S139">
        <f>HYPERLINK("https://klasma.github.io/Logging_2481/artfynd/A 43154-2024 artfynd.xlsx", "A 43154-2024")</f>
        <v/>
      </c>
      <c r="T139">
        <f>HYPERLINK("https://klasma.github.io/Logging_2481/kartor/A 43154-2024 karta.png", "A 43154-2024")</f>
        <v/>
      </c>
      <c r="V139">
        <f>HYPERLINK("https://klasma.github.io/Logging_2481/klagomål/A 43154-2024 FSC-klagomål.docx", "A 43154-2024")</f>
        <v/>
      </c>
      <c r="W139">
        <f>HYPERLINK("https://klasma.github.io/Logging_2481/klagomålsmail/A 43154-2024 FSC-klagomål mail.docx", "A 43154-2024")</f>
        <v/>
      </c>
      <c r="X139">
        <f>HYPERLINK("https://klasma.github.io/Logging_2481/tillsyn/A 43154-2024 tillsynsbegäran.docx", "A 43154-2024")</f>
        <v/>
      </c>
      <c r="Y139">
        <f>HYPERLINK("https://klasma.github.io/Logging_2481/tillsynsmail/A 43154-2024 tillsynsbegäran mail.docx", "A 43154-2024")</f>
        <v/>
      </c>
    </row>
    <row r="140" ht="15" customHeight="1">
      <c r="A140" t="inlineStr">
        <is>
          <t>A 43905-2024</t>
        </is>
      </c>
      <c r="B140" s="1" t="n">
        <v>45572</v>
      </c>
      <c r="C140" s="1" t="n">
        <v>45831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9.199999999999999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Lunglav
Skrovellav</t>
        </is>
      </c>
      <c r="S140">
        <f>HYPERLINK("https://klasma.github.io/Logging_2481/artfynd/A 43905-2024 artfynd.xlsx", "A 43905-2024")</f>
        <v/>
      </c>
      <c r="T140">
        <f>HYPERLINK("https://klasma.github.io/Logging_2481/kartor/A 43905-2024 karta.png", "A 43905-2024")</f>
        <v/>
      </c>
      <c r="V140">
        <f>HYPERLINK("https://klasma.github.io/Logging_2481/klagomål/A 43905-2024 FSC-klagomål.docx", "A 43905-2024")</f>
        <v/>
      </c>
      <c r="W140">
        <f>HYPERLINK("https://klasma.github.io/Logging_2481/klagomålsmail/A 43905-2024 FSC-klagomål mail.docx", "A 43905-2024")</f>
        <v/>
      </c>
      <c r="X140">
        <f>HYPERLINK("https://klasma.github.io/Logging_2481/tillsyn/A 43905-2024 tillsynsbegäran.docx", "A 43905-2024")</f>
        <v/>
      </c>
      <c r="Y140">
        <f>HYPERLINK("https://klasma.github.io/Logging_2481/tillsynsmail/A 43905-2024 tillsynsbegäran mail.docx", "A 43905-2024")</f>
        <v/>
      </c>
    </row>
    <row r="141" ht="15" customHeight="1">
      <c r="A141" t="inlineStr">
        <is>
          <t>A 44230-2024</t>
        </is>
      </c>
      <c r="B141" s="1" t="n">
        <v>45573</v>
      </c>
      <c r="C141" s="1" t="n">
        <v>45831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19.8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Mörk kolflarnlav</t>
        </is>
      </c>
      <c r="S141">
        <f>HYPERLINK("https://klasma.github.io/Logging_2481/artfynd/A 44230-2024 artfynd.xlsx", "A 44230-2024")</f>
        <v/>
      </c>
      <c r="T141">
        <f>HYPERLINK("https://klasma.github.io/Logging_2481/kartor/A 44230-2024 karta.png", "A 44230-2024")</f>
        <v/>
      </c>
      <c r="V141">
        <f>HYPERLINK("https://klasma.github.io/Logging_2481/klagomål/A 44230-2024 FSC-klagomål.docx", "A 44230-2024")</f>
        <v/>
      </c>
      <c r="W141">
        <f>HYPERLINK("https://klasma.github.io/Logging_2481/klagomålsmail/A 44230-2024 FSC-klagomål mail.docx", "A 44230-2024")</f>
        <v/>
      </c>
      <c r="X141">
        <f>HYPERLINK("https://klasma.github.io/Logging_2481/tillsyn/A 44230-2024 tillsynsbegäran.docx", "A 44230-2024")</f>
        <v/>
      </c>
      <c r="Y141">
        <f>HYPERLINK("https://klasma.github.io/Logging_2481/tillsynsmail/A 44230-2024 tillsynsbegäran mail.docx", "A 44230-2024")</f>
        <v/>
      </c>
    </row>
    <row r="142" ht="15" customHeight="1">
      <c r="A142" t="inlineStr">
        <is>
          <t>A 45935-2024</t>
        </is>
      </c>
      <c r="B142" s="1" t="n">
        <v>45580</v>
      </c>
      <c r="C142" s="1" t="n">
        <v>45831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Lunglav
Orange taggsvamp</t>
        </is>
      </c>
      <c r="S142">
        <f>HYPERLINK("https://klasma.github.io/Logging_2481/artfynd/A 45935-2024 artfynd.xlsx", "A 45935-2024")</f>
        <v/>
      </c>
      <c r="T142">
        <f>HYPERLINK("https://klasma.github.io/Logging_2481/kartor/A 45935-2024 karta.png", "A 45935-2024")</f>
        <v/>
      </c>
      <c r="V142">
        <f>HYPERLINK("https://klasma.github.io/Logging_2481/klagomål/A 45935-2024 FSC-klagomål.docx", "A 45935-2024")</f>
        <v/>
      </c>
      <c r="W142">
        <f>HYPERLINK("https://klasma.github.io/Logging_2481/klagomålsmail/A 45935-2024 FSC-klagomål mail.docx", "A 45935-2024")</f>
        <v/>
      </c>
      <c r="X142">
        <f>HYPERLINK("https://klasma.github.io/Logging_2481/tillsyn/A 45935-2024 tillsynsbegäran.docx", "A 45935-2024")</f>
        <v/>
      </c>
      <c r="Y142">
        <f>HYPERLINK("https://klasma.github.io/Logging_2481/tillsynsmail/A 45935-2024 tillsynsbegäran mail.docx", "A 45935-2024")</f>
        <v/>
      </c>
    </row>
    <row r="143" ht="15" customHeight="1">
      <c r="A143" t="inlineStr">
        <is>
          <t>A 47126-2024</t>
        </is>
      </c>
      <c r="B143" s="1" t="n">
        <v>45586</v>
      </c>
      <c r="C143" s="1" t="n">
        <v>45831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16.2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Motaggsvamp
Dropptaggsvamp</t>
        </is>
      </c>
      <c r="S143">
        <f>HYPERLINK("https://klasma.github.io/Logging_2481/artfynd/A 47126-2024 artfynd.xlsx", "A 47126-2024")</f>
        <v/>
      </c>
      <c r="T143">
        <f>HYPERLINK("https://klasma.github.io/Logging_2481/kartor/A 47126-2024 karta.png", "A 47126-2024")</f>
        <v/>
      </c>
      <c r="V143">
        <f>HYPERLINK("https://klasma.github.io/Logging_2481/klagomål/A 47126-2024 FSC-klagomål.docx", "A 47126-2024")</f>
        <v/>
      </c>
      <c r="W143">
        <f>HYPERLINK("https://klasma.github.io/Logging_2481/klagomålsmail/A 47126-2024 FSC-klagomål mail.docx", "A 47126-2024")</f>
        <v/>
      </c>
      <c r="X143">
        <f>HYPERLINK("https://klasma.github.io/Logging_2481/tillsyn/A 47126-2024 tillsynsbegäran.docx", "A 47126-2024")</f>
        <v/>
      </c>
      <c r="Y143">
        <f>HYPERLINK("https://klasma.github.io/Logging_2481/tillsynsmail/A 47126-2024 tillsynsbegäran mail.docx", "A 47126-2024")</f>
        <v/>
      </c>
    </row>
    <row r="144" ht="15" customHeight="1">
      <c r="A144" t="inlineStr">
        <is>
          <t>A 48222-2024</t>
        </is>
      </c>
      <c r="B144" s="1" t="n">
        <v>45590</v>
      </c>
      <c r="C144" s="1" t="n">
        <v>45831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4.2</v>
      </c>
      <c r="H144" t="n">
        <v>0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2</v>
      </c>
      <c r="R144" s="2" t="inlineStr">
        <is>
          <t>Gräddporing
Lunglav</t>
        </is>
      </c>
      <c r="S144">
        <f>HYPERLINK("https://klasma.github.io/Logging_2481/artfynd/A 48222-2024 artfynd.xlsx", "A 48222-2024")</f>
        <v/>
      </c>
      <c r="T144">
        <f>HYPERLINK("https://klasma.github.io/Logging_2481/kartor/A 48222-2024 karta.png", "A 48222-2024")</f>
        <v/>
      </c>
      <c r="V144">
        <f>HYPERLINK("https://klasma.github.io/Logging_2481/klagomål/A 48222-2024 FSC-klagomål.docx", "A 48222-2024")</f>
        <v/>
      </c>
      <c r="W144">
        <f>HYPERLINK("https://klasma.github.io/Logging_2481/klagomålsmail/A 48222-2024 FSC-klagomål mail.docx", "A 48222-2024")</f>
        <v/>
      </c>
      <c r="X144">
        <f>HYPERLINK("https://klasma.github.io/Logging_2481/tillsyn/A 48222-2024 tillsynsbegäran.docx", "A 48222-2024")</f>
        <v/>
      </c>
      <c r="Y144">
        <f>HYPERLINK("https://klasma.github.io/Logging_2481/tillsynsmail/A 48222-2024 tillsynsbegäran mail.docx", "A 48222-2024")</f>
        <v/>
      </c>
    </row>
    <row r="145" ht="15" customHeight="1">
      <c r="A145" t="inlineStr">
        <is>
          <t>A 50687-2024</t>
        </is>
      </c>
      <c r="B145" s="1" t="n">
        <v>45602</v>
      </c>
      <c r="C145" s="1" t="n">
        <v>45831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17.4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Motaggsvamp
Dropptaggsvamp</t>
        </is>
      </c>
      <c r="S145">
        <f>HYPERLINK("https://klasma.github.io/Logging_2481/artfynd/A 50687-2024 artfynd.xlsx", "A 50687-2024")</f>
        <v/>
      </c>
      <c r="T145">
        <f>HYPERLINK("https://klasma.github.io/Logging_2481/kartor/A 50687-2024 karta.png", "A 50687-2024")</f>
        <v/>
      </c>
      <c r="V145">
        <f>HYPERLINK("https://klasma.github.io/Logging_2481/klagomål/A 50687-2024 FSC-klagomål.docx", "A 50687-2024")</f>
        <v/>
      </c>
      <c r="W145">
        <f>HYPERLINK("https://klasma.github.io/Logging_2481/klagomålsmail/A 50687-2024 FSC-klagomål mail.docx", "A 50687-2024")</f>
        <v/>
      </c>
      <c r="X145">
        <f>HYPERLINK("https://klasma.github.io/Logging_2481/tillsyn/A 50687-2024 tillsynsbegäran.docx", "A 50687-2024")</f>
        <v/>
      </c>
      <c r="Y145">
        <f>HYPERLINK("https://klasma.github.io/Logging_2481/tillsynsmail/A 50687-2024 tillsynsbegäran mail.docx", "A 50687-2024")</f>
        <v/>
      </c>
    </row>
    <row r="146" ht="15" customHeight="1">
      <c r="A146" t="inlineStr">
        <is>
          <t>A 50741-2024</t>
        </is>
      </c>
      <c r="B146" s="1" t="n">
        <v>45602</v>
      </c>
      <c r="C146" s="1" t="n">
        <v>45831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6.2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Mörk kolflarnlav
Skarp dropptaggsvamp</t>
        </is>
      </c>
      <c r="S146">
        <f>HYPERLINK("https://klasma.github.io/Logging_2481/artfynd/A 50741-2024 artfynd.xlsx", "A 50741-2024")</f>
        <v/>
      </c>
      <c r="T146">
        <f>HYPERLINK("https://klasma.github.io/Logging_2481/kartor/A 50741-2024 karta.png", "A 50741-2024")</f>
        <v/>
      </c>
      <c r="V146">
        <f>HYPERLINK("https://klasma.github.io/Logging_2481/klagomål/A 50741-2024 FSC-klagomål.docx", "A 50741-2024")</f>
        <v/>
      </c>
      <c r="W146">
        <f>HYPERLINK("https://klasma.github.io/Logging_2481/klagomålsmail/A 50741-2024 FSC-klagomål mail.docx", "A 50741-2024")</f>
        <v/>
      </c>
      <c r="X146">
        <f>HYPERLINK("https://klasma.github.io/Logging_2481/tillsyn/A 50741-2024 tillsynsbegäran.docx", "A 50741-2024")</f>
        <v/>
      </c>
      <c r="Y146">
        <f>HYPERLINK("https://klasma.github.io/Logging_2481/tillsynsmail/A 50741-2024 tillsynsbegäran mail.docx", "A 50741-2024")</f>
        <v/>
      </c>
    </row>
    <row r="147" ht="15" customHeight="1">
      <c r="A147" t="inlineStr">
        <is>
          <t>A 52234-2024</t>
        </is>
      </c>
      <c r="B147" s="1" t="n">
        <v>45608</v>
      </c>
      <c r="C147" s="1" t="n">
        <v>45831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2.7</v>
      </c>
      <c r="H147" t="n">
        <v>1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Dropptaggsvamp
Lavskrika</t>
        </is>
      </c>
      <c r="S147">
        <f>HYPERLINK("https://klasma.github.io/Logging_2481/artfynd/A 52234-2024 artfynd.xlsx", "A 52234-2024")</f>
        <v/>
      </c>
      <c r="T147">
        <f>HYPERLINK("https://klasma.github.io/Logging_2481/kartor/A 52234-2024 karta.png", "A 52234-2024")</f>
        <v/>
      </c>
      <c r="V147">
        <f>HYPERLINK("https://klasma.github.io/Logging_2481/klagomål/A 52234-2024 FSC-klagomål.docx", "A 52234-2024")</f>
        <v/>
      </c>
      <c r="W147">
        <f>HYPERLINK("https://klasma.github.io/Logging_2481/klagomålsmail/A 52234-2024 FSC-klagomål mail.docx", "A 52234-2024")</f>
        <v/>
      </c>
      <c r="X147">
        <f>HYPERLINK("https://klasma.github.io/Logging_2481/tillsyn/A 52234-2024 tillsynsbegäran.docx", "A 52234-2024")</f>
        <v/>
      </c>
      <c r="Y147">
        <f>HYPERLINK("https://klasma.github.io/Logging_2481/tillsynsmail/A 52234-2024 tillsynsbegäran mail.docx", "A 52234-2024")</f>
        <v/>
      </c>
      <c r="Z147">
        <f>HYPERLINK("https://klasma.github.io/Logging_2481/fåglar/A 52234-2024 prioriterade fågelarter.docx", "A 52234-2024")</f>
        <v/>
      </c>
    </row>
    <row r="148" ht="15" customHeight="1">
      <c r="A148" t="inlineStr">
        <is>
          <t>A 56045-2024</t>
        </is>
      </c>
      <c r="B148" s="1" t="n">
        <v>45624</v>
      </c>
      <c r="C148" s="1" t="n">
        <v>45831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11.6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Dropptaggsvamp</t>
        </is>
      </c>
      <c r="S148">
        <f>HYPERLINK("https://klasma.github.io/Logging_2481/artfynd/A 56045-2024 artfynd.xlsx", "A 56045-2024")</f>
        <v/>
      </c>
      <c r="T148">
        <f>HYPERLINK("https://klasma.github.io/Logging_2481/kartor/A 56045-2024 karta.png", "A 56045-2024")</f>
        <v/>
      </c>
      <c r="V148">
        <f>HYPERLINK("https://klasma.github.io/Logging_2481/klagomål/A 56045-2024 FSC-klagomål.docx", "A 56045-2024")</f>
        <v/>
      </c>
      <c r="W148">
        <f>HYPERLINK("https://klasma.github.io/Logging_2481/klagomålsmail/A 56045-2024 FSC-klagomål mail.docx", "A 56045-2024")</f>
        <v/>
      </c>
      <c r="X148">
        <f>HYPERLINK("https://klasma.github.io/Logging_2481/tillsyn/A 56045-2024 tillsynsbegäran.docx", "A 56045-2024")</f>
        <v/>
      </c>
      <c r="Y148">
        <f>HYPERLINK("https://klasma.github.io/Logging_2481/tillsynsmail/A 56045-2024 tillsynsbegäran mail.docx", "A 56045-2024")</f>
        <v/>
      </c>
    </row>
    <row r="149" ht="15" customHeight="1">
      <c r="A149" t="inlineStr">
        <is>
          <t>A 6031-2025</t>
        </is>
      </c>
      <c r="B149" s="1" t="n">
        <v>45695</v>
      </c>
      <c r="C149" s="1" t="n">
        <v>45831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SCA</t>
        </is>
      </c>
      <c r="G149" t="n">
        <v>25.8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Skrovellav
Stuplav</t>
        </is>
      </c>
      <c r="S149">
        <f>HYPERLINK("https://klasma.github.io/Logging_2481/artfynd/A 6031-2025 artfynd.xlsx", "A 6031-2025")</f>
        <v/>
      </c>
      <c r="T149">
        <f>HYPERLINK("https://klasma.github.io/Logging_2481/kartor/A 6031-2025 karta.png", "A 6031-2025")</f>
        <v/>
      </c>
      <c r="V149">
        <f>HYPERLINK("https://klasma.github.io/Logging_2481/klagomål/A 6031-2025 FSC-klagomål.docx", "A 6031-2025")</f>
        <v/>
      </c>
      <c r="W149">
        <f>HYPERLINK("https://klasma.github.io/Logging_2481/klagomålsmail/A 6031-2025 FSC-klagomål mail.docx", "A 6031-2025")</f>
        <v/>
      </c>
      <c r="X149">
        <f>HYPERLINK("https://klasma.github.io/Logging_2481/tillsyn/A 6031-2025 tillsynsbegäran.docx", "A 6031-2025")</f>
        <v/>
      </c>
      <c r="Y149">
        <f>HYPERLINK("https://klasma.github.io/Logging_2481/tillsynsmail/A 6031-2025 tillsynsbegäran mail.docx", "A 6031-2025")</f>
        <v/>
      </c>
    </row>
    <row r="150" ht="15" customHeight="1">
      <c r="A150" t="inlineStr">
        <is>
          <t>A 7702-2025</t>
        </is>
      </c>
      <c r="B150" s="1" t="n">
        <v>45706</v>
      </c>
      <c r="C150" s="1" t="n">
        <v>45831</v>
      </c>
      <c r="D150" t="inlineStr">
        <is>
          <t>VÄSTERBOTTENS LÄN</t>
        </is>
      </c>
      <c r="E150" t="inlineStr">
        <is>
          <t>LYCKSELE</t>
        </is>
      </c>
      <c r="G150" t="n">
        <v>3.5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Garnlav
Kungsfågel</t>
        </is>
      </c>
      <c r="S150">
        <f>HYPERLINK("https://klasma.github.io/Logging_2481/artfynd/A 7702-2025 artfynd.xlsx", "A 7702-2025")</f>
        <v/>
      </c>
      <c r="T150">
        <f>HYPERLINK("https://klasma.github.io/Logging_2481/kartor/A 7702-2025 karta.png", "A 7702-2025")</f>
        <v/>
      </c>
      <c r="V150">
        <f>HYPERLINK("https://klasma.github.io/Logging_2481/klagomål/A 7702-2025 FSC-klagomål.docx", "A 7702-2025")</f>
        <v/>
      </c>
      <c r="W150">
        <f>HYPERLINK("https://klasma.github.io/Logging_2481/klagomålsmail/A 7702-2025 FSC-klagomål mail.docx", "A 7702-2025")</f>
        <v/>
      </c>
      <c r="X150">
        <f>HYPERLINK("https://klasma.github.io/Logging_2481/tillsyn/A 7702-2025 tillsynsbegäran.docx", "A 7702-2025")</f>
        <v/>
      </c>
      <c r="Y150">
        <f>HYPERLINK("https://klasma.github.io/Logging_2481/tillsynsmail/A 7702-2025 tillsynsbegäran mail.docx", "A 7702-2025")</f>
        <v/>
      </c>
      <c r="Z150">
        <f>HYPERLINK("https://klasma.github.io/Logging_2481/fåglar/A 7702-2025 prioriterade fågelarter.docx", "A 7702-2025")</f>
        <v/>
      </c>
    </row>
    <row r="151" ht="15" customHeight="1">
      <c r="A151" t="inlineStr">
        <is>
          <t>A 13645-2025</t>
        </is>
      </c>
      <c r="B151" s="1" t="n">
        <v>45736</v>
      </c>
      <c r="C151" s="1" t="n">
        <v>45831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SCA</t>
        </is>
      </c>
      <c r="G151" t="n">
        <v>19.6</v>
      </c>
      <c r="H151" t="n">
        <v>1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Talltita
Dropptaggsvamp</t>
        </is>
      </c>
      <c r="S151">
        <f>HYPERLINK("https://klasma.github.io/Logging_242481/artfynd/A 13645-2025 artfynd.xlsx", "A 13645-2025")</f>
        <v/>
      </c>
      <c r="T151">
        <f>HYPERLINK("https://klasma.github.io/Logging_242481/kartor/A 13645-2025 karta.png", "A 13645-2025")</f>
        <v/>
      </c>
      <c r="V151">
        <f>HYPERLINK("https://klasma.github.io/Logging_242481/klagomål/A 13645-2025 FSC-klagomål.docx", "A 13645-2025")</f>
        <v/>
      </c>
      <c r="W151">
        <f>HYPERLINK("https://klasma.github.io/Logging_242481/klagomålsmail/A 13645-2025 FSC-klagomål mail.docx", "A 13645-2025")</f>
        <v/>
      </c>
      <c r="X151">
        <f>HYPERLINK("https://klasma.github.io/Logging_242481/tillsyn/A 13645-2025 tillsynsbegäran.docx", "A 13645-2025")</f>
        <v/>
      </c>
      <c r="Y151">
        <f>HYPERLINK("https://klasma.github.io/Logging_242481/tillsynsmail/A 13645-2025 tillsynsbegäran mail.docx", "A 13645-2025")</f>
        <v/>
      </c>
      <c r="Z151">
        <f>HYPERLINK("https://klasma.github.io/Logging_242481/fåglar/A 13645-2025 prioriterade fågelarter.docx", "A 13645-2025")</f>
        <v/>
      </c>
    </row>
    <row r="152" ht="15" customHeight="1">
      <c r="A152" t="inlineStr">
        <is>
          <t>A 19492-2025</t>
        </is>
      </c>
      <c r="B152" s="1" t="n">
        <v>45770</v>
      </c>
      <c r="C152" s="1" t="n">
        <v>45831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SCA</t>
        </is>
      </c>
      <c r="G152" t="n">
        <v>14.2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Lunglav
Stuplav</t>
        </is>
      </c>
      <c r="S152">
        <f>HYPERLINK("https://klasma.github.io/Logging_242481/artfynd/A 19492-2025 artfynd.xlsx", "A 19492-2025")</f>
        <v/>
      </c>
      <c r="T152">
        <f>HYPERLINK("https://klasma.github.io/Logging_242481/kartor/A 19492-2025 karta.png", "A 19492-2025")</f>
        <v/>
      </c>
      <c r="V152">
        <f>HYPERLINK("https://klasma.github.io/Logging_242481/klagomål/A 19492-2025 FSC-klagomål.docx", "A 19492-2025")</f>
        <v/>
      </c>
      <c r="W152">
        <f>HYPERLINK("https://klasma.github.io/Logging_242481/klagomålsmail/A 19492-2025 FSC-klagomål mail.docx", "A 19492-2025")</f>
        <v/>
      </c>
      <c r="X152">
        <f>HYPERLINK("https://klasma.github.io/Logging_242481/tillsyn/A 19492-2025 tillsynsbegäran.docx", "A 19492-2025")</f>
        <v/>
      </c>
      <c r="Y152">
        <f>HYPERLINK("https://klasma.github.io/Logging_242481/tillsynsmail/A 19492-2025 tillsynsbegäran mail.docx", "A 19492-2025")</f>
        <v/>
      </c>
    </row>
    <row r="153" ht="15" customHeight="1">
      <c r="A153" t="inlineStr">
        <is>
          <t>A 20111-2025</t>
        </is>
      </c>
      <c r="B153" s="1" t="n">
        <v>45772</v>
      </c>
      <c r="C153" s="1" t="n">
        <v>45831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6.9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Blå taggsvamp
Orange taggsvamp</t>
        </is>
      </c>
      <c r="S153">
        <f>HYPERLINK("https://klasma.github.io/Logging_242481/artfynd/A 20111-2025 artfynd.xlsx", "A 20111-2025")</f>
        <v/>
      </c>
      <c r="T153">
        <f>HYPERLINK("https://klasma.github.io/Logging_242481/kartor/A 20111-2025 karta.png", "A 20111-2025")</f>
        <v/>
      </c>
      <c r="V153">
        <f>HYPERLINK("https://klasma.github.io/Logging_242481/klagomål/A 20111-2025 FSC-klagomål.docx", "A 20111-2025")</f>
        <v/>
      </c>
      <c r="W153">
        <f>HYPERLINK("https://klasma.github.io/Logging_242481/klagomålsmail/A 20111-2025 FSC-klagomål mail.docx", "A 20111-2025")</f>
        <v/>
      </c>
      <c r="X153">
        <f>HYPERLINK("https://klasma.github.io/Logging_242481/tillsyn/A 20111-2025 tillsynsbegäran.docx", "A 20111-2025")</f>
        <v/>
      </c>
      <c r="Y153">
        <f>HYPERLINK("https://klasma.github.io/Logging_242481/tillsynsmail/A 20111-2025 tillsynsbegäran mail.docx", "A 20111-2025")</f>
        <v/>
      </c>
    </row>
    <row r="154" ht="15" customHeight="1">
      <c r="A154" t="inlineStr">
        <is>
          <t>A 22360-2025</t>
        </is>
      </c>
      <c r="B154" s="1" t="n">
        <v>45786</v>
      </c>
      <c r="C154" s="1" t="n">
        <v>45831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Blå taggsvamp
Orange taggsvamp</t>
        </is>
      </c>
      <c r="S154">
        <f>HYPERLINK("https://klasma.github.io/Logging_242481/artfynd/A 22360-2025 artfynd.xlsx", "A 22360-2025")</f>
        <v/>
      </c>
      <c r="T154">
        <f>HYPERLINK("https://klasma.github.io/Logging_242481/kartor/A 22360-2025 karta.png", "A 22360-2025")</f>
        <v/>
      </c>
      <c r="V154">
        <f>HYPERLINK("https://klasma.github.io/Logging_242481/klagomål/A 22360-2025 FSC-klagomål.docx", "A 22360-2025")</f>
        <v/>
      </c>
      <c r="W154">
        <f>HYPERLINK("https://klasma.github.io/Logging_242481/klagomålsmail/A 22360-2025 FSC-klagomål mail.docx", "A 22360-2025")</f>
        <v/>
      </c>
      <c r="X154">
        <f>HYPERLINK("https://klasma.github.io/Logging_242481/tillsyn/A 22360-2025 tillsynsbegäran.docx", "A 22360-2025")</f>
        <v/>
      </c>
      <c r="Y154">
        <f>HYPERLINK("https://klasma.github.io/Logging_242481/tillsynsmail/A 22360-2025 tillsynsbegäran mail.docx", "A 22360-2025")</f>
        <v/>
      </c>
    </row>
    <row r="155" ht="15" customHeight="1">
      <c r="A155" t="inlineStr">
        <is>
          <t>A 22363-2025</t>
        </is>
      </c>
      <c r="B155" s="1" t="n">
        <v>45786</v>
      </c>
      <c r="C155" s="1" t="n">
        <v>45831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Blå taggsvamp
Orange taggsvamp</t>
        </is>
      </c>
      <c r="S155">
        <f>HYPERLINK("https://klasma.github.io/Logging_242481/artfynd/A 22363-2025 artfynd.xlsx", "A 22363-2025")</f>
        <v/>
      </c>
      <c r="T155">
        <f>HYPERLINK("https://klasma.github.io/Logging_242481/kartor/A 22363-2025 karta.png", "A 22363-2025")</f>
        <v/>
      </c>
      <c r="V155">
        <f>HYPERLINK("https://klasma.github.io/Logging_242481/klagomål/A 22363-2025 FSC-klagomål.docx", "A 22363-2025")</f>
        <v/>
      </c>
      <c r="W155">
        <f>HYPERLINK("https://klasma.github.io/Logging_242481/klagomålsmail/A 22363-2025 FSC-klagomål mail.docx", "A 22363-2025")</f>
        <v/>
      </c>
      <c r="X155">
        <f>HYPERLINK("https://klasma.github.io/Logging_242481/tillsyn/A 22363-2025 tillsynsbegäran.docx", "A 22363-2025")</f>
        <v/>
      </c>
      <c r="Y155">
        <f>HYPERLINK("https://klasma.github.io/Logging_242481/tillsynsmail/A 22363-2025 tillsynsbegäran mail.docx", "A 22363-2025")</f>
        <v/>
      </c>
    </row>
    <row r="156" ht="15" customHeight="1">
      <c r="A156" t="inlineStr">
        <is>
          <t>A 22629-2025</t>
        </is>
      </c>
      <c r="B156" s="1" t="n">
        <v>45789</v>
      </c>
      <c r="C156" s="1" t="n">
        <v>45831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11.3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Mörk kolflarnlav</t>
        </is>
      </c>
      <c r="S156">
        <f>HYPERLINK("https://klasma.github.io/Logging_242481/artfynd/A 22629-2025 artfynd.xlsx", "A 22629-2025")</f>
        <v/>
      </c>
      <c r="T156">
        <f>HYPERLINK("https://klasma.github.io/Logging_242481/kartor/A 22629-2025 karta.png", "A 22629-2025")</f>
        <v/>
      </c>
      <c r="V156">
        <f>HYPERLINK("https://klasma.github.io/Logging_242481/klagomål/A 22629-2025 FSC-klagomål.docx", "A 22629-2025")</f>
        <v/>
      </c>
      <c r="W156">
        <f>HYPERLINK("https://klasma.github.io/Logging_242481/klagomålsmail/A 22629-2025 FSC-klagomål mail.docx", "A 22629-2025")</f>
        <v/>
      </c>
      <c r="X156">
        <f>HYPERLINK("https://klasma.github.io/Logging_242481/tillsyn/A 22629-2025 tillsynsbegäran.docx", "A 22629-2025")</f>
        <v/>
      </c>
      <c r="Y156">
        <f>HYPERLINK("https://klasma.github.io/Logging_242481/tillsynsmail/A 22629-2025 tillsynsbegäran mail.docx", "A 22629-2025")</f>
        <v/>
      </c>
    </row>
    <row r="157" ht="15" customHeight="1">
      <c r="A157" t="inlineStr">
        <is>
          <t>A 23341-2025</t>
        </is>
      </c>
      <c r="B157" s="1" t="n">
        <v>45791</v>
      </c>
      <c r="C157" s="1" t="n">
        <v>45831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Blå taggsvamp
Orange taggsvamp</t>
        </is>
      </c>
      <c r="S157">
        <f>HYPERLINK("https://klasma.github.io/Logging_242481/artfynd/A 23341-2025 artfynd.xlsx", "A 23341-2025")</f>
        <v/>
      </c>
      <c r="T157">
        <f>HYPERLINK("https://klasma.github.io/Logging_242481/kartor/A 23341-2025 karta.png", "A 23341-2025")</f>
        <v/>
      </c>
      <c r="V157">
        <f>HYPERLINK("https://klasma.github.io/Logging_242481/klagomål/A 23341-2025 FSC-klagomål.docx", "A 23341-2025")</f>
        <v/>
      </c>
      <c r="W157">
        <f>HYPERLINK("https://klasma.github.io/Logging_242481/klagomålsmail/A 23341-2025 FSC-klagomål mail.docx", "A 23341-2025")</f>
        <v/>
      </c>
      <c r="X157">
        <f>HYPERLINK("https://klasma.github.io/Logging_242481/tillsyn/A 23341-2025 tillsynsbegäran.docx", "A 23341-2025")</f>
        <v/>
      </c>
      <c r="Y157">
        <f>HYPERLINK("https://klasma.github.io/Logging_242481/tillsynsmail/A 23341-2025 tillsynsbegäran mail.docx", "A 23341-2025")</f>
        <v/>
      </c>
    </row>
    <row r="158" ht="15" customHeight="1">
      <c r="A158" t="inlineStr">
        <is>
          <t>A 23328-2025</t>
        </is>
      </c>
      <c r="B158" s="1" t="n">
        <v>45791</v>
      </c>
      <c r="C158" s="1" t="n">
        <v>45831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Blå taggsvamp
Orange taggsvamp</t>
        </is>
      </c>
      <c r="S158">
        <f>HYPERLINK("https://klasma.github.io/Logging_242481/artfynd/A 23328-2025 artfynd.xlsx", "A 23328-2025")</f>
        <v/>
      </c>
      <c r="T158">
        <f>HYPERLINK("https://klasma.github.io/Logging_242481/kartor/A 23328-2025 karta.png", "A 23328-2025")</f>
        <v/>
      </c>
      <c r="V158">
        <f>HYPERLINK("https://klasma.github.io/Logging_242481/klagomål/A 23328-2025 FSC-klagomål.docx", "A 23328-2025")</f>
        <v/>
      </c>
      <c r="W158">
        <f>HYPERLINK("https://klasma.github.io/Logging_242481/klagomålsmail/A 23328-2025 FSC-klagomål mail.docx", "A 23328-2025")</f>
        <v/>
      </c>
      <c r="X158">
        <f>HYPERLINK("https://klasma.github.io/Logging_242481/tillsyn/A 23328-2025 tillsynsbegäran.docx", "A 23328-2025")</f>
        <v/>
      </c>
      <c r="Y158">
        <f>HYPERLINK("https://klasma.github.io/Logging_242481/tillsynsmail/A 23328-2025 tillsynsbegäran mail.docx", "A 23328-2025")</f>
        <v/>
      </c>
    </row>
    <row r="159" ht="15" customHeight="1">
      <c r="A159" t="inlineStr">
        <is>
          <t>A 23862-2025</t>
        </is>
      </c>
      <c r="B159" s="1" t="n">
        <v>45793</v>
      </c>
      <c r="C159" s="1" t="n">
        <v>45831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4.7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Fläcknycklar
Revlummer</t>
        </is>
      </c>
      <c r="S159">
        <f>HYPERLINK("https://klasma.github.io/Logging_242481/artfynd/A 23862-2025 artfynd.xlsx", "A 23862-2025")</f>
        <v/>
      </c>
      <c r="T159">
        <f>HYPERLINK("https://klasma.github.io/Logging_242481/kartor/A 23862-2025 karta.png", "A 23862-2025")</f>
        <v/>
      </c>
      <c r="V159">
        <f>HYPERLINK("https://klasma.github.io/Logging_242481/klagomål/A 23862-2025 FSC-klagomål.docx", "A 23862-2025")</f>
        <v/>
      </c>
      <c r="W159">
        <f>HYPERLINK("https://klasma.github.io/Logging_242481/klagomålsmail/A 23862-2025 FSC-klagomål mail.docx", "A 23862-2025")</f>
        <v/>
      </c>
      <c r="X159">
        <f>HYPERLINK("https://klasma.github.io/Logging_242481/tillsyn/A 23862-2025 tillsynsbegäran.docx", "A 23862-2025")</f>
        <v/>
      </c>
      <c r="Y159">
        <f>HYPERLINK("https://klasma.github.io/Logging_242481/tillsynsmail/A 23862-2025 tillsynsbegäran mail.docx", "A 23862-2025")</f>
        <v/>
      </c>
    </row>
    <row r="160" ht="15" customHeight="1">
      <c r="A160" t="inlineStr">
        <is>
          <t>A 25259-2025</t>
        </is>
      </c>
      <c r="B160" s="1" t="n">
        <v>45800</v>
      </c>
      <c r="C160" s="1" t="n">
        <v>45831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Kolflarnlav
Mörk kolflarnlav</t>
        </is>
      </c>
      <c r="S160">
        <f>HYPERLINK("https://klasma.github.io/Logging_242481/artfynd/A 25259-2025 artfynd.xlsx", "A 25259-2025")</f>
        <v/>
      </c>
      <c r="T160">
        <f>HYPERLINK("https://klasma.github.io/Logging_242481/kartor/A 25259-2025 karta.png", "A 25259-2025")</f>
        <v/>
      </c>
      <c r="V160">
        <f>HYPERLINK("https://klasma.github.io/Logging_242481/klagomål/A 25259-2025 FSC-klagomål.docx", "A 25259-2025")</f>
        <v/>
      </c>
      <c r="W160">
        <f>HYPERLINK("https://klasma.github.io/Logging_242481/klagomålsmail/A 25259-2025 FSC-klagomål mail.docx", "A 25259-2025")</f>
        <v/>
      </c>
      <c r="X160">
        <f>HYPERLINK("https://klasma.github.io/Logging_242481/tillsyn/A 25259-2025 tillsynsbegäran.docx", "A 25259-2025")</f>
        <v/>
      </c>
      <c r="Y160">
        <f>HYPERLINK("https://klasma.github.io/Logging_242481/tillsynsmail/A 25259-2025 tillsynsbegäran mail.docx", "A 25259-2025")</f>
        <v/>
      </c>
    </row>
    <row r="161" ht="15" customHeight="1">
      <c r="A161" t="inlineStr">
        <is>
          <t>A 26271-2025</t>
        </is>
      </c>
      <c r="B161" s="1" t="n">
        <v>45805</v>
      </c>
      <c r="C161" s="1" t="n">
        <v>45831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Gammelgransskål
Lunglav</t>
        </is>
      </c>
      <c r="S161">
        <f>HYPERLINK("https://klasma.github.io/Logging_242481/artfynd/A 26271-2025 artfynd.xlsx", "A 26271-2025")</f>
        <v/>
      </c>
      <c r="T161">
        <f>HYPERLINK("https://klasma.github.io/Logging_242481/kartor/A 26271-2025 karta.png", "A 26271-2025")</f>
        <v/>
      </c>
      <c r="V161">
        <f>HYPERLINK("https://klasma.github.io/Logging_242481/klagomål/A 26271-2025 FSC-klagomål.docx", "A 26271-2025")</f>
        <v/>
      </c>
      <c r="W161">
        <f>HYPERLINK("https://klasma.github.io/Logging_242481/klagomålsmail/A 26271-2025 FSC-klagomål mail.docx", "A 26271-2025")</f>
        <v/>
      </c>
      <c r="X161">
        <f>HYPERLINK("https://klasma.github.io/Logging_242481/tillsyn/A 26271-2025 tillsynsbegäran.docx", "A 26271-2025")</f>
        <v/>
      </c>
      <c r="Y161">
        <f>HYPERLINK("https://klasma.github.io/Logging_242481/tillsynsmail/A 26271-2025 tillsynsbegäran mail.docx", "A 26271-2025")</f>
        <v/>
      </c>
    </row>
    <row r="162" ht="15" customHeight="1">
      <c r="A162" t="inlineStr">
        <is>
          <t>A 28167-2025</t>
        </is>
      </c>
      <c r="B162" s="1" t="n">
        <v>45818</v>
      </c>
      <c r="C162" s="1" t="n">
        <v>45831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13.1</v>
      </c>
      <c r="H162" t="n">
        <v>1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Doftticka
Blå taggsvamp</t>
        </is>
      </c>
      <c r="S162">
        <f>HYPERLINK("https://klasma.github.io/Logging_242481/artfynd/A 28167-2025 artfynd.xlsx", "A 28167-2025")</f>
        <v/>
      </c>
      <c r="T162">
        <f>HYPERLINK("https://klasma.github.io/Logging_242481/kartor/A 28167-2025 karta.png", "A 28167-2025")</f>
        <v/>
      </c>
      <c r="V162">
        <f>HYPERLINK("https://klasma.github.io/Logging_242481/klagomål/A 28167-2025 FSC-klagomål.docx", "A 28167-2025")</f>
        <v/>
      </c>
      <c r="W162">
        <f>HYPERLINK("https://klasma.github.io/Logging_242481/klagomålsmail/A 28167-2025 FSC-klagomål mail.docx", "A 28167-2025")</f>
        <v/>
      </c>
      <c r="X162">
        <f>HYPERLINK("https://klasma.github.io/Logging_242481/tillsyn/A 28167-2025 tillsynsbegäran.docx", "A 28167-2025")</f>
        <v/>
      </c>
      <c r="Y162">
        <f>HYPERLINK("https://klasma.github.io/Logging_242481/tillsynsmail/A 28167-2025 tillsynsbegäran mail.docx", "A 28167-2025")</f>
        <v/>
      </c>
    </row>
    <row r="163" ht="15" customHeight="1">
      <c r="A163" t="inlineStr">
        <is>
          <t>A 36373-2019</t>
        </is>
      </c>
      <c r="B163" s="1" t="n">
        <v>43670</v>
      </c>
      <c r="C163" s="1" t="n">
        <v>45831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2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Stor aspticka</t>
        </is>
      </c>
      <c r="S163">
        <f>HYPERLINK("https://klasma.github.io/Logging_2481/artfynd/A 36373-2019 artfynd.xlsx", "A 36373-2019")</f>
        <v/>
      </c>
      <c r="T163">
        <f>HYPERLINK("https://klasma.github.io/Logging_2481/kartor/A 36373-2019 karta.png", "A 36373-2019")</f>
        <v/>
      </c>
      <c r="U163">
        <f>HYPERLINK("https://klasma.github.io/Logging_2481/knärot/A 36373-2019 karta knärot.png", "A 36373-2019")</f>
        <v/>
      </c>
      <c r="V163">
        <f>HYPERLINK("https://klasma.github.io/Logging_2481/klagomål/A 36373-2019 FSC-klagomål.docx", "A 36373-2019")</f>
        <v/>
      </c>
      <c r="W163">
        <f>HYPERLINK("https://klasma.github.io/Logging_2481/klagomålsmail/A 36373-2019 FSC-klagomål mail.docx", "A 36373-2019")</f>
        <v/>
      </c>
      <c r="X163">
        <f>HYPERLINK("https://klasma.github.io/Logging_2481/tillsyn/A 36373-2019 tillsynsbegäran.docx", "A 36373-2019")</f>
        <v/>
      </c>
      <c r="Y163">
        <f>HYPERLINK("https://klasma.github.io/Logging_2481/tillsynsmail/A 36373-2019 tillsynsbegäran mail.docx", "A 36373-2019")</f>
        <v/>
      </c>
    </row>
    <row r="164" ht="15" customHeight="1">
      <c r="A164" t="inlineStr">
        <is>
          <t>A 51211-2019</t>
        </is>
      </c>
      <c r="B164" s="1" t="n">
        <v>43739</v>
      </c>
      <c r="C164" s="1" t="n">
        <v>45831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Kyrkan</t>
        </is>
      </c>
      <c r="G164" t="n">
        <v>4.1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Skarp dropptaggsvamp</t>
        </is>
      </c>
      <c r="S164">
        <f>HYPERLINK("https://klasma.github.io/Logging_2481/artfynd/A 51211-2019 artfynd.xlsx", "A 51211-2019")</f>
        <v/>
      </c>
      <c r="T164">
        <f>HYPERLINK("https://klasma.github.io/Logging_2481/kartor/A 51211-2019 karta.png", "A 51211-2019")</f>
        <v/>
      </c>
      <c r="V164">
        <f>HYPERLINK("https://klasma.github.io/Logging_2481/klagomål/A 51211-2019 FSC-klagomål.docx", "A 51211-2019")</f>
        <v/>
      </c>
      <c r="W164">
        <f>HYPERLINK("https://klasma.github.io/Logging_2481/klagomålsmail/A 51211-2019 FSC-klagomål mail.docx", "A 51211-2019")</f>
        <v/>
      </c>
      <c r="X164">
        <f>HYPERLINK("https://klasma.github.io/Logging_2481/tillsyn/A 51211-2019 tillsynsbegäran.docx", "A 51211-2019")</f>
        <v/>
      </c>
      <c r="Y164">
        <f>HYPERLINK("https://klasma.github.io/Logging_2481/tillsynsmail/A 51211-2019 tillsynsbegäran mail.docx", "A 51211-2019")</f>
        <v/>
      </c>
    </row>
    <row r="165" ht="15" customHeight="1">
      <c r="A165" t="inlineStr">
        <is>
          <t>A 60563-2019</t>
        </is>
      </c>
      <c r="B165" s="1" t="n">
        <v>43781</v>
      </c>
      <c r="C165" s="1" t="n">
        <v>45831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25.1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HYPERLINK("https://klasma.github.io/Logging_2481/artfynd/A 60563-2019 artfynd.xlsx", "A 60563-2019")</f>
        <v/>
      </c>
      <c r="T165">
        <f>HYPERLINK("https://klasma.github.io/Logging_2481/kartor/A 60563-2019 karta.png", "A 60563-2019")</f>
        <v/>
      </c>
      <c r="V165">
        <f>HYPERLINK("https://klasma.github.io/Logging_2481/klagomål/A 60563-2019 FSC-klagomål.docx", "A 60563-2019")</f>
        <v/>
      </c>
      <c r="W165">
        <f>HYPERLINK("https://klasma.github.io/Logging_2481/klagomålsmail/A 60563-2019 FSC-klagomål mail.docx", "A 60563-2019")</f>
        <v/>
      </c>
      <c r="X165">
        <f>HYPERLINK("https://klasma.github.io/Logging_2481/tillsyn/A 60563-2019 tillsynsbegäran.docx", "A 60563-2019")</f>
        <v/>
      </c>
      <c r="Y165">
        <f>HYPERLINK("https://klasma.github.io/Logging_2481/tillsynsmail/A 60563-2019 tillsynsbegäran mail.docx", "A 60563-2019")</f>
        <v/>
      </c>
    </row>
    <row r="166" ht="15" customHeight="1">
      <c r="A166" t="inlineStr">
        <is>
          <t>A 67975-2019</t>
        </is>
      </c>
      <c r="B166" s="1" t="n">
        <v>43816</v>
      </c>
      <c r="C166" s="1" t="n">
        <v>45831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11.5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67975-2019 artfynd.xlsx", "A 67975-2019")</f>
        <v/>
      </c>
      <c r="T166">
        <f>HYPERLINK("https://klasma.github.io/Logging_2481/kartor/A 67975-2019 karta.png", "A 67975-2019")</f>
        <v/>
      </c>
      <c r="V166">
        <f>HYPERLINK("https://klasma.github.io/Logging_2481/klagomål/A 67975-2019 FSC-klagomål.docx", "A 67975-2019")</f>
        <v/>
      </c>
      <c r="W166">
        <f>HYPERLINK("https://klasma.github.io/Logging_2481/klagomålsmail/A 67975-2019 FSC-klagomål mail.docx", "A 67975-2019")</f>
        <v/>
      </c>
      <c r="X166">
        <f>HYPERLINK("https://klasma.github.io/Logging_2481/tillsyn/A 67975-2019 tillsynsbegäran.docx", "A 67975-2019")</f>
        <v/>
      </c>
      <c r="Y166">
        <f>HYPERLINK("https://klasma.github.io/Logging_2481/tillsynsmail/A 67975-2019 tillsynsbegäran mail.docx", "A 67975-2019")</f>
        <v/>
      </c>
    </row>
    <row r="167" ht="15" customHeight="1">
      <c r="A167" t="inlineStr">
        <is>
          <t>A 68098-2019</t>
        </is>
      </c>
      <c r="B167" s="1" t="n">
        <v>43817</v>
      </c>
      <c r="C167" s="1" t="n">
        <v>45831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5.1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Harticka</t>
        </is>
      </c>
      <c r="S167">
        <f>HYPERLINK("https://klasma.github.io/Logging_2481/artfynd/A 68098-2019 artfynd.xlsx", "A 68098-2019")</f>
        <v/>
      </c>
      <c r="T167">
        <f>HYPERLINK("https://klasma.github.io/Logging_2481/kartor/A 68098-2019 karta.png", "A 68098-2019")</f>
        <v/>
      </c>
      <c r="V167">
        <f>HYPERLINK("https://klasma.github.io/Logging_2481/klagomål/A 68098-2019 FSC-klagomål.docx", "A 68098-2019")</f>
        <v/>
      </c>
      <c r="W167">
        <f>HYPERLINK("https://klasma.github.io/Logging_2481/klagomålsmail/A 68098-2019 FSC-klagomål mail.docx", "A 68098-2019")</f>
        <v/>
      </c>
      <c r="X167">
        <f>HYPERLINK("https://klasma.github.io/Logging_2481/tillsyn/A 68098-2019 tillsynsbegäran.docx", "A 68098-2019")</f>
        <v/>
      </c>
      <c r="Y167">
        <f>HYPERLINK("https://klasma.github.io/Logging_2481/tillsynsmail/A 68098-2019 tillsynsbegäran mail.docx", "A 68098-2019")</f>
        <v/>
      </c>
    </row>
    <row r="168" ht="15" customHeight="1">
      <c r="A168" t="inlineStr">
        <is>
          <t>A 28098-2020</t>
        </is>
      </c>
      <c r="B168" s="1" t="n">
        <v>43997</v>
      </c>
      <c r="C168" s="1" t="n">
        <v>45831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Kyrkan</t>
        </is>
      </c>
      <c r="G168" t="n">
        <v>6.4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Mindre märgborre</t>
        </is>
      </c>
      <c r="S168">
        <f>HYPERLINK("https://klasma.github.io/Logging_2481/artfynd/A 28098-2020 artfynd.xlsx", "A 28098-2020")</f>
        <v/>
      </c>
      <c r="T168">
        <f>HYPERLINK("https://klasma.github.io/Logging_2481/kartor/A 28098-2020 karta.png", "A 28098-2020")</f>
        <v/>
      </c>
      <c r="V168">
        <f>HYPERLINK("https://klasma.github.io/Logging_2481/klagomål/A 28098-2020 FSC-klagomål.docx", "A 28098-2020")</f>
        <v/>
      </c>
      <c r="W168">
        <f>HYPERLINK("https://klasma.github.io/Logging_2481/klagomålsmail/A 28098-2020 FSC-klagomål mail.docx", "A 28098-2020")</f>
        <v/>
      </c>
      <c r="X168">
        <f>HYPERLINK("https://klasma.github.io/Logging_2481/tillsyn/A 28098-2020 tillsynsbegäran.docx", "A 28098-2020")</f>
        <v/>
      </c>
      <c r="Y168">
        <f>HYPERLINK("https://klasma.github.io/Logging_2481/tillsynsmail/A 28098-2020 tillsynsbegäran mail.docx", "A 28098-2020")</f>
        <v/>
      </c>
    </row>
    <row r="169" ht="15" customHeight="1">
      <c r="A169" t="inlineStr">
        <is>
          <t>A 31460-2021</t>
        </is>
      </c>
      <c r="B169" s="1" t="n">
        <v>44369</v>
      </c>
      <c r="C169" s="1" t="n">
        <v>45831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Nordtagging</t>
        </is>
      </c>
      <c r="S169">
        <f>HYPERLINK("https://klasma.github.io/Logging_2481/artfynd/A 31460-2021 artfynd.xlsx", "A 31460-2021")</f>
        <v/>
      </c>
      <c r="T169">
        <f>HYPERLINK("https://klasma.github.io/Logging_2481/kartor/A 31460-2021 karta.png", "A 31460-2021")</f>
        <v/>
      </c>
      <c r="V169">
        <f>HYPERLINK("https://klasma.github.io/Logging_2481/klagomål/A 31460-2021 FSC-klagomål.docx", "A 31460-2021")</f>
        <v/>
      </c>
      <c r="W169">
        <f>HYPERLINK("https://klasma.github.io/Logging_2481/klagomålsmail/A 31460-2021 FSC-klagomål mail.docx", "A 31460-2021")</f>
        <v/>
      </c>
      <c r="X169">
        <f>HYPERLINK("https://klasma.github.io/Logging_2481/tillsyn/A 31460-2021 tillsynsbegäran.docx", "A 31460-2021")</f>
        <v/>
      </c>
      <c r="Y169">
        <f>HYPERLINK("https://klasma.github.io/Logging_2481/tillsynsmail/A 31460-2021 tillsynsbegäran mail.docx", "A 31460-2021")</f>
        <v/>
      </c>
    </row>
    <row r="170" ht="15" customHeight="1">
      <c r="A170" t="inlineStr">
        <is>
          <t>A 37583-2021</t>
        </is>
      </c>
      <c r="B170" s="1" t="n">
        <v>44399</v>
      </c>
      <c r="C170" s="1" t="n">
        <v>45831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10.9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HYPERLINK("https://klasma.github.io/Logging_2481/artfynd/A 37583-2021 artfynd.xlsx", "A 37583-2021")</f>
        <v/>
      </c>
      <c r="T170">
        <f>HYPERLINK("https://klasma.github.io/Logging_2481/kartor/A 37583-2021 karta.png", "A 37583-2021")</f>
        <v/>
      </c>
      <c r="V170">
        <f>HYPERLINK("https://klasma.github.io/Logging_2481/klagomål/A 37583-2021 FSC-klagomål.docx", "A 37583-2021")</f>
        <v/>
      </c>
      <c r="W170">
        <f>HYPERLINK("https://klasma.github.io/Logging_2481/klagomålsmail/A 37583-2021 FSC-klagomål mail.docx", "A 37583-2021")</f>
        <v/>
      </c>
      <c r="X170">
        <f>HYPERLINK("https://klasma.github.io/Logging_2481/tillsyn/A 37583-2021 tillsynsbegäran.docx", "A 37583-2021")</f>
        <v/>
      </c>
      <c r="Y170">
        <f>HYPERLINK("https://klasma.github.io/Logging_2481/tillsynsmail/A 37583-2021 tillsynsbegäran mail.docx", "A 37583-2021")</f>
        <v/>
      </c>
      <c r="Z170">
        <f>HYPERLINK("https://klasma.github.io/Logging_2481/fåglar/A 37583-2021 prioriterade fågelarter.docx", "A 37583-2021")</f>
        <v/>
      </c>
    </row>
    <row r="171" ht="15" customHeight="1">
      <c r="A171" t="inlineStr">
        <is>
          <t>A 54142-2021</t>
        </is>
      </c>
      <c r="B171" s="1" t="n">
        <v>44470</v>
      </c>
      <c r="C171" s="1" t="n">
        <v>45831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15.5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HYPERLINK("https://klasma.github.io/Logging_2481/artfynd/A 54142-2021 artfynd.xlsx", "A 54142-2021")</f>
        <v/>
      </c>
      <c r="T171">
        <f>HYPERLINK("https://klasma.github.io/Logging_2481/kartor/A 54142-2021 karta.png", "A 54142-2021")</f>
        <v/>
      </c>
      <c r="U171">
        <f>HYPERLINK("https://klasma.github.io/Logging_2481/knärot/A 54142-2021 karta knärot.png", "A 54142-2021")</f>
        <v/>
      </c>
      <c r="V171">
        <f>HYPERLINK("https://klasma.github.io/Logging_2481/klagomål/A 54142-2021 FSC-klagomål.docx", "A 54142-2021")</f>
        <v/>
      </c>
      <c r="W171">
        <f>HYPERLINK("https://klasma.github.io/Logging_2481/klagomålsmail/A 54142-2021 FSC-klagomål mail.docx", "A 54142-2021")</f>
        <v/>
      </c>
      <c r="X171">
        <f>HYPERLINK("https://klasma.github.io/Logging_2481/tillsyn/A 54142-2021 tillsynsbegäran.docx", "A 54142-2021")</f>
        <v/>
      </c>
      <c r="Y171">
        <f>HYPERLINK("https://klasma.github.io/Logging_2481/tillsynsmail/A 54142-2021 tillsynsbegäran mail.docx", "A 54142-2021")</f>
        <v/>
      </c>
    </row>
    <row r="172" ht="15" customHeight="1">
      <c r="A172" t="inlineStr">
        <is>
          <t>A 59780-2021</t>
        </is>
      </c>
      <c r="B172" s="1" t="n">
        <v>44494</v>
      </c>
      <c r="C172" s="1" t="n">
        <v>45831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HYPERLINK("https://klasma.github.io/Logging_2481/artfynd/A 59780-2021 artfynd.xlsx", "A 59780-2021")</f>
        <v/>
      </c>
      <c r="T172">
        <f>HYPERLINK("https://klasma.github.io/Logging_2481/kartor/A 59780-2021 karta.png", "A 59780-2021")</f>
        <v/>
      </c>
      <c r="V172">
        <f>HYPERLINK("https://klasma.github.io/Logging_2481/klagomål/A 59780-2021 FSC-klagomål.docx", "A 59780-2021")</f>
        <v/>
      </c>
      <c r="W172">
        <f>HYPERLINK("https://klasma.github.io/Logging_2481/klagomålsmail/A 59780-2021 FSC-klagomål mail.docx", "A 59780-2021")</f>
        <v/>
      </c>
      <c r="X172">
        <f>HYPERLINK("https://klasma.github.io/Logging_2481/tillsyn/A 59780-2021 tillsynsbegäran.docx", "A 59780-2021")</f>
        <v/>
      </c>
      <c r="Y172">
        <f>HYPERLINK("https://klasma.github.io/Logging_2481/tillsynsmail/A 59780-2021 tillsynsbegäran mail.docx", "A 59780-2021")</f>
        <v/>
      </c>
    </row>
    <row r="173" ht="15" customHeight="1">
      <c r="A173" t="inlineStr">
        <is>
          <t>A 60045-2021</t>
        </is>
      </c>
      <c r="B173" s="1" t="n">
        <v>44495</v>
      </c>
      <c r="C173" s="1" t="n">
        <v>45831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60045-2021 artfynd.xlsx", "A 60045-2021")</f>
        <v/>
      </c>
      <c r="T173">
        <f>HYPERLINK("https://klasma.github.io/Logging_2481/kartor/A 60045-2021 karta.png", "A 60045-2021")</f>
        <v/>
      </c>
      <c r="V173">
        <f>HYPERLINK("https://klasma.github.io/Logging_2481/klagomål/A 60045-2021 FSC-klagomål.docx", "A 60045-2021")</f>
        <v/>
      </c>
      <c r="W173">
        <f>HYPERLINK("https://klasma.github.io/Logging_2481/klagomålsmail/A 60045-2021 FSC-klagomål mail.docx", "A 60045-2021")</f>
        <v/>
      </c>
      <c r="X173">
        <f>HYPERLINK("https://klasma.github.io/Logging_2481/tillsyn/A 60045-2021 tillsynsbegäran.docx", "A 60045-2021")</f>
        <v/>
      </c>
      <c r="Y173">
        <f>HYPERLINK("https://klasma.github.io/Logging_2481/tillsynsmail/A 60045-2021 tillsynsbegäran mail.docx", "A 60045-2021")</f>
        <v/>
      </c>
    </row>
    <row r="174" ht="15" customHeight="1">
      <c r="A174" t="inlineStr">
        <is>
          <t>A 72131-2021</t>
        </is>
      </c>
      <c r="B174" s="1" t="n">
        <v>44543</v>
      </c>
      <c r="C174" s="1" t="n">
        <v>45831</v>
      </c>
      <c r="D174" t="inlineStr">
        <is>
          <t>VÄSTERBOTTENS LÄN</t>
        </is>
      </c>
      <c r="E174" t="inlineStr">
        <is>
          <t>LYCKSELE</t>
        </is>
      </c>
      <c r="G174" t="n">
        <v>19.1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HYPERLINK("https://klasma.github.io/Logging_2481/artfynd/A 72131-2021 artfynd.xlsx", "A 72131-2021")</f>
        <v/>
      </c>
      <c r="T174">
        <f>HYPERLINK("https://klasma.github.io/Logging_2481/kartor/A 72131-2021 karta.png", "A 72131-2021")</f>
        <v/>
      </c>
      <c r="V174">
        <f>HYPERLINK("https://klasma.github.io/Logging_2481/klagomål/A 72131-2021 FSC-klagomål.docx", "A 72131-2021")</f>
        <v/>
      </c>
      <c r="W174">
        <f>HYPERLINK("https://klasma.github.io/Logging_2481/klagomålsmail/A 72131-2021 FSC-klagomål mail.docx", "A 72131-2021")</f>
        <v/>
      </c>
      <c r="X174">
        <f>HYPERLINK("https://klasma.github.io/Logging_2481/tillsyn/A 72131-2021 tillsynsbegäran.docx", "A 72131-2021")</f>
        <v/>
      </c>
      <c r="Y174">
        <f>HYPERLINK("https://klasma.github.io/Logging_2481/tillsynsmail/A 72131-2021 tillsynsbegäran mail.docx", "A 72131-2021")</f>
        <v/>
      </c>
      <c r="Z174">
        <f>HYPERLINK("https://klasma.github.io/Logging_2481/fåglar/A 72131-2021 prioriterade fågelarter.docx", "A 72131-2021")</f>
        <v/>
      </c>
    </row>
    <row r="175" ht="15" customHeight="1">
      <c r="A175" t="inlineStr">
        <is>
          <t>A 73357-2021</t>
        </is>
      </c>
      <c r="B175" s="1" t="n">
        <v>44551</v>
      </c>
      <c r="C175" s="1" t="n">
        <v>45831</v>
      </c>
      <c r="D175" t="inlineStr">
        <is>
          <t>VÄSTERBOTTENS LÄN</t>
        </is>
      </c>
      <c r="E175" t="inlineStr">
        <is>
          <t>LYCKSELE</t>
        </is>
      </c>
      <c r="G175" t="n">
        <v>11.3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HYPERLINK("https://klasma.github.io/Logging_2481/artfynd/A 73357-2021 artfynd.xlsx", "A 73357-2021")</f>
        <v/>
      </c>
      <c r="T175">
        <f>HYPERLINK("https://klasma.github.io/Logging_2481/kartor/A 73357-2021 karta.png", "A 73357-2021")</f>
        <v/>
      </c>
      <c r="V175">
        <f>HYPERLINK("https://klasma.github.io/Logging_2481/klagomål/A 73357-2021 FSC-klagomål.docx", "A 73357-2021")</f>
        <v/>
      </c>
      <c r="W175">
        <f>HYPERLINK("https://klasma.github.io/Logging_2481/klagomålsmail/A 73357-2021 FSC-klagomål mail.docx", "A 73357-2021")</f>
        <v/>
      </c>
      <c r="X175">
        <f>HYPERLINK("https://klasma.github.io/Logging_2481/tillsyn/A 73357-2021 tillsynsbegäran.docx", "A 73357-2021")</f>
        <v/>
      </c>
      <c r="Y175">
        <f>HYPERLINK("https://klasma.github.io/Logging_2481/tillsynsmail/A 73357-2021 tillsynsbegäran mail.docx", "A 73357-2021")</f>
        <v/>
      </c>
    </row>
    <row r="176" ht="15" customHeight="1">
      <c r="A176" t="inlineStr">
        <is>
          <t>A 3929-2022</t>
        </is>
      </c>
      <c r="B176" s="1" t="n">
        <v>44587</v>
      </c>
      <c r="C176" s="1" t="n">
        <v>45831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6.7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3929-2022 artfynd.xlsx", "A 3929-2022")</f>
        <v/>
      </c>
      <c r="T176">
        <f>HYPERLINK("https://klasma.github.io/Logging_2481/kartor/A 3929-2022 karta.png", "A 3929-2022")</f>
        <v/>
      </c>
      <c r="V176">
        <f>HYPERLINK("https://klasma.github.io/Logging_2481/klagomål/A 3929-2022 FSC-klagomål.docx", "A 3929-2022")</f>
        <v/>
      </c>
      <c r="W176">
        <f>HYPERLINK("https://klasma.github.io/Logging_2481/klagomålsmail/A 3929-2022 FSC-klagomål mail.docx", "A 3929-2022")</f>
        <v/>
      </c>
      <c r="X176">
        <f>HYPERLINK("https://klasma.github.io/Logging_2481/tillsyn/A 3929-2022 tillsynsbegäran.docx", "A 3929-2022")</f>
        <v/>
      </c>
      <c r="Y176">
        <f>HYPERLINK("https://klasma.github.io/Logging_2481/tillsynsmail/A 3929-2022 tillsynsbegäran mail.docx", "A 3929-2022")</f>
        <v/>
      </c>
    </row>
    <row r="177" ht="15" customHeight="1">
      <c r="A177" t="inlineStr">
        <is>
          <t>A 9073-2022</t>
        </is>
      </c>
      <c r="B177" s="1" t="n">
        <v>44615</v>
      </c>
      <c r="C177" s="1" t="n">
        <v>45831</v>
      </c>
      <c r="D177" t="inlineStr">
        <is>
          <t>VÄSTERBOTTENS LÄN</t>
        </is>
      </c>
      <c r="E177" t="inlineStr">
        <is>
          <t>LYCKSELE</t>
        </is>
      </c>
      <c r="G177" t="n">
        <v>3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Utter</t>
        </is>
      </c>
      <c r="S177">
        <f>HYPERLINK("https://klasma.github.io/Logging_2481/artfynd/A 9073-2022 artfynd.xlsx", "A 9073-2022")</f>
        <v/>
      </c>
      <c r="T177">
        <f>HYPERLINK("https://klasma.github.io/Logging_2481/kartor/A 9073-2022 karta.png", "A 9073-2022")</f>
        <v/>
      </c>
      <c r="V177">
        <f>HYPERLINK("https://klasma.github.io/Logging_2481/klagomål/A 9073-2022 FSC-klagomål.docx", "A 9073-2022")</f>
        <v/>
      </c>
      <c r="W177">
        <f>HYPERLINK("https://klasma.github.io/Logging_2481/klagomålsmail/A 9073-2022 FSC-klagomål mail.docx", "A 9073-2022")</f>
        <v/>
      </c>
      <c r="X177">
        <f>HYPERLINK("https://klasma.github.io/Logging_2481/tillsyn/A 9073-2022 tillsynsbegäran.docx", "A 9073-2022")</f>
        <v/>
      </c>
      <c r="Y177">
        <f>HYPERLINK("https://klasma.github.io/Logging_2481/tillsynsmail/A 9073-2022 tillsynsbegäran mail.docx", "A 9073-2022")</f>
        <v/>
      </c>
    </row>
    <row r="178" ht="15" customHeight="1">
      <c r="A178" t="inlineStr">
        <is>
          <t>A 9341-2022</t>
        </is>
      </c>
      <c r="B178" s="1" t="n">
        <v>44616</v>
      </c>
      <c r="C178" s="1" t="n">
        <v>45831</v>
      </c>
      <c r="D178" t="inlineStr">
        <is>
          <t>VÄSTERBOTTENS LÄN</t>
        </is>
      </c>
      <c r="E178" t="inlineStr">
        <is>
          <t>LYCKSELE</t>
        </is>
      </c>
      <c r="G178" t="n">
        <v>6.9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Ullticka</t>
        </is>
      </c>
      <c r="S178">
        <f>HYPERLINK("https://klasma.github.io/Logging_2481/artfynd/A 9341-2022 artfynd.xlsx", "A 9341-2022")</f>
        <v/>
      </c>
      <c r="T178">
        <f>HYPERLINK("https://klasma.github.io/Logging_2481/kartor/A 9341-2022 karta.png", "A 9341-2022")</f>
        <v/>
      </c>
      <c r="V178">
        <f>HYPERLINK("https://klasma.github.io/Logging_2481/klagomål/A 9341-2022 FSC-klagomål.docx", "A 9341-2022")</f>
        <v/>
      </c>
      <c r="W178">
        <f>HYPERLINK("https://klasma.github.io/Logging_2481/klagomålsmail/A 9341-2022 FSC-klagomål mail.docx", "A 9341-2022")</f>
        <v/>
      </c>
      <c r="X178">
        <f>HYPERLINK("https://klasma.github.io/Logging_2481/tillsyn/A 9341-2022 tillsynsbegäran.docx", "A 9341-2022")</f>
        <v/>
      </c>
      <c r="Y178">
        <f>HYPERLINK("https://klasma.github.io/Logging_2481/tillsynsmail/A 9341-2022 tillsynsbegäran mail.docx", "A 9341-2022")</f>
        <v/>
      </c>
    </row>
    <row r="179" ht="15" customHeight="1">
      <c r="A179" t="inlineStr">
        <is>
          <t>A 23308-2022</t>
        </is>
      </c>
      <c r="B179" s="1" t="n">
        <v>44720</v>
      </c>
      <c r="C179" s="1" t="n">
        <v>45831</v>
      </c>
      <c r="D179" t="inlineStr">
        <is>
          <t>VÄSTERBOTTENS LÄN</t>
        </is>
      </c>
      <c r="E179" t="inlineStr">
        <is>
          <t>LYCKSELE</t>
        </is>
      </c>
      <c r="G179" t="n">
        <v>2.4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23308-2022 artfynd.xlsx", "A 23308-2022")</f>
        <v/>
      </c>
      <c r="T179">
        <f>HYPERLINK("https://klasma.github.io/Logging_2481/kartor/A 23308-2022 karta.png", "A 23308-2022")</f>
        <v/>
      </c>
      <c r="V179">
        <f>HYPERLINK("https://klasma.github.io/Logging_2481/klagomål/A 23308-2022 FSC-klagomål.docx", "A 23308-2022")</f>
        <v/>
      </c>
      <c r="W179">
        <f>HYPERLINK("https://klasma.github.io/Logging_2481/klagomålsmail/A 23308-2022 FSC-klagomål mail.docx", "A 23308-2022")</f>
        <v/>
      </c>
      <c r="X179">
        <f>HYPERLINK("https://klasma.github.io/Logging_2481/tillsyn/A 23308-2022 tillsynsbegäran.docx", "A 23308-2022")</f>
        <v/>
      </c>
      <c r="Y179">
        <f>HYPERLINK("https://klasma.github.io/Logging_2481/tillsynsmail/A 23308-2022 tillsynsbegäran mail.docx", "A 23308-2022")</f>
        <v/>
      </c>
    </row>
    <row r="180" ht="15" customHeight="1">
      <c r="A180" t="inlineStr">
        <is>
          <t>A 32638-2022</t>
        </is>
      </c>
      <c r="B180" s="1" t="n">
        <v>44783</v>
      </c>
      <c r="C180" s="1" t="n">
        <v>45831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4.2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32638-2022 artfynd.xlsx", "A 32638-2022")</f>
        <v/>
      </c>
      <c r="T180">
        <f>HYPERLINK("https://klasma.github.io/Logging_2481/kartor/A 32638-2022 karta.png", "A 32638-2022")</f>
        <v/>
      </c>
      <c r="V180">
        <f>HYPERLINK("https://klasma.github.io/Logging_2481/klagomål/A 32638-2022 FSC-klagomål.docx", "A 32638-2022")</f>
        <v/>
      </c>
      <c r="W180">
        <f>HYPERLINK("https://klasma.github.io/Logging_2481/klagomålsmail/A 32638-2022 FSC-klagomål mail.docx", "A 32638-2022")</f>
        <v/>
      </c>
      <c r="X180">
        <f>HYPERLINK("https://klasma.github.io/Logging_2481/tillsyn/A 32638-2022 tillsynsbegäran.docx", "A 32638-2022")</f>
        <v/>
      </c>
      <c r="Y180">
        <f>HYPERLINK("https://klasma.github.io/Logging_2481/tillsynsmail/A 32638-2022 tillsynsbegäran mail.docx", "A 32638-2022")</f>
        <v/>
      </c>
    </row>
    <row r="181" ht="15" customHeight="1">
      <c r="A181" t="inlineStr">
        <is>
          <t>A 34810-2022</t>
        </is>
      </c>
      <c r="B181" s="1" t="n">
        <v>44795</v>
      </c>
      <c r="C181" s="1" t="n">
        <v>45831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2.3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HYPERLINK("https://klasma.github.io/Logging_2481/artfynd/A 34810-2022 artfynd.xlsx", "A 34810-2022")</f>
        <v/>
      </c>
      <c r="T181">
        <f>HYPERLINK("https://klasma.github.io/Logging_2481/kartor/A 34810-2022 karta.png", "A 34810-2022")</f>
        <v/>
      </c>
      <c r="V181">
        <f>HYPERLINK("https://klasma.github.io/Logging_2481/klagomål/A 34810-2022 FSC-klagomål.docx", "A 34810-2022")</f>
        <v/>
      </c>
      <c r="W181">
        <f>HYPERLINK("https://klasma.github.io/Logging_2481/klagomålsmail/A 34810-2022 FSC-klagomål mail.docx", "A 34810-2022")</f>
        <v/>
      </c>
      <c r="X181">
        <f>HYPERLINK("https://klasma.github.io/Logging_2481/tillsyn/A 34810-2022 tillsynsbegäran.docx", "A 34810-2022")</f>
        <v/>
      </c>
      <c r="Y181">
        <f>HYPERLINK("https://klasma.github.io/Logging_2481/tillsynsmail/A 34810-2022 tillsynsbegäran mail.docx", "A 34810-2022")</f>
        <v/>
      </c>
    </row>
    <row r="182" ht="15" customHeight="1">
      <c r="A182" t="inlineStr">
        <is>
          <t>A 34809-2022</t>
        </is>
      </c>
      <c r="B182" s="1" t="n">
        <v>44795</v>
      </c>
      <c r="C182" s="1" t="n">
        <v>45831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SCA</t>
        </is>
      </c>
      <c r="G182" t="n">
        <v>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Gammelgransskål</t>
        </is>
      </c>
      <c r="S182">
        <f>HYPERLINK("https://klasma.github.io/Logging_2481/artfynd/A 34809-2022 artfynd.xlsx", "A 34809-2022")</f>
        <v/>
      </c>
      <c r="T182">
        <f>HYPERLINK("https://klasma.github.io/Logging_2481/kartor/A 34809-2022 karta.png", "A 34809-2022")</f>
        <v/>
      </c>
      <c r="V182">
        <f>HYPERLINK("https://klasma.github.io/Logging_2481/klagomål/A 34809-2022 FSC-klagomål.docx", "A 34809-2022")</f>
        <v/>
      </c>
      <c r="W182">
        <f>HYPERLINK("https://klasma.github.io/Logging_2481/klagomålsmail/A 34809-2022 FSC-klagomål mail.docx", "A 34809-2022")</f>
        <v/>
      </c>
      <c r="X182">
        <f>HYPERLINK("https://klasma.github.io/Logging_2481/tillsyn/A 34809-2022 tillsynsbegäran.docx", "A 34809-2022")</f>
        <v/>
      </c>
      <c r="Y182">
        <f>HYPERLINK("https://klasma.github.io/Logging_2481/tillsynsmail/A 34809-2022 tillsynsbegäran mail.docx", "A 34809-2022")</f>
        <v/>
      </c>
    </row>
    <row r="183" ht="15" customHeight="1">
      <c r="A183" t="inlineStr">
        <is>
          <t>A 40133-2022</t>
        </is>
      </c>
      <c r="B183" s="1" t="n">
        <v>44820</v>
      </c>
      <c r="C183" s="1" t="n">
        <v>45831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15.3</v>
      </c>
      <c r="H183" t="n">
        <v>0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Gräddporing</t>
        </is>
      </c>
      <c r="S183">
        <f>HYPERLINK("https://klasma.github.io/Logging_2481/artfynd/A 40133-2022 artfynd.xlsx", "A 40133-2022")</f>
        <v/>
      </c>
      <c r="T183">
        <f>HYPERLINK("https://klasma.github.io/Logging_2481/kartor/A 40133-2022 karta.png", "A 40133-2022")</f>
        <v/>
      </c>
      <c r="V183">
        <f>HYPERLINK("https://klasma.github.io/Logging_2481/klagomål/A 40133-2022 FSC-klagomål.docx", "A 40133-2022")</f>
        <v/>
      </c>
      <c r="W183">
        <f>HYPERLINK("https://klasma.github.io/Logging_2481/klagomålsmail/A 40133-2022 FSC-klagomål mail.docx", "A 40133-2022")</f>
        <v/>
      </c>
      <c r="X183">
        <f>HYPERLINK("https://klasma.github.io/Logging_2481/tillsyn/A 40133-2022 tillsynsbegäran.docx", "A 40133-2022")</f>
        <v/>
      </c>
      <c r="Y183">
        <f>HYPERLINK("https://klasma.github.io/Logging_2481/tillsynsmail/A 40133-2022 tillsynsbegäran mail.docx", "A 40133-2022")</f>
        <v/>
      </c>
    </row>
    <row r="184" ht="15" customHeight="1">
      <c r="A184" t="inlineStr">
        <is>
          <t>A 43418-2022</t>
        </is>
      </c>
      <c r="B184" s="1" t="n">
        <v>44834</v>
      </c>
      <c r="C184" s="1" t="n">
        <v>45831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SCA</t>
        </is>
      </c>
      <c r="G184" t="n">
        <v>8.4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Skarp dropptaggsvamp</t>
        </is>
      </c>
      <c r="S184">
        <f>HYPERLINK("https://klasma.github.io/Logging_2481/artfynd/A 43418-2022 artfynd.xlsx", "A 43418-2022")</f>
        <v/>
      </c>
      <c r="T184">
        <f>HYPERLINK("https://klasma.github.io/Logging_2481/kartor/A 43418-2022 karta.png", "A 43418-2022")</f>
        <v/>
      </c>
      <c r="V184">
        <f>HYPERLINK("https://klasma.github.io/Logging_2481/klagomål/A 43418-2022 FSC-klagomål.docx", "A 43418-2022")</f>
        <v/>
      </c>
      <c r="W184">
        <f>HYPERLINK("https://klasma.github.io/Logging_2481/klagomålsmail/A 43418-2022 FSC-klagomål mail.docx", "A 43418-2022")</f>
        <v/>
      </c>
      <c r="X184">
        <f>HYPERLINK("https://klasma.github.io/Logging_2481/tillsyn/A 43418-2022 tillsynsbegäran.docx", "A 43418-2022")</f>
        <v/>
      </c>
      <c r="Y184">
        <f>HYPERLINK("https://klasma.github.io/Logging_2481/tillsynsmail/A 43418-2022 tillsynsbegäran mail.docx", "A 43418-2022")</f>
        <v/>
      </c>
    </row>
    <row r="185" ht="15" customHeight="1">
      <c r="A185" t="inlineStr">
        <is>
          <t>A 51554-2022</t>
        </is>
      </c>
      <c r="B185" s="1" t="n">
        <v>44869</v>
      </c>
      <c r="C185" s="1" t="n">
        <v>45831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SCA</t>
        </is>
      </c>
      <c r="G185" t="n">
        <v>4.2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Kungsörn</t>
        </is>
      </c>
      <c r="S185">
        <f>HYPERLINK("https://klasma.github.io/Logging_2481/artfynd/A 51554-2022 artfynd.xlsx", "A 51554-2022")</f>
        <v/>
      </c>
      <c r="T185">
        <f>HYPERLINK("https://klasma.github.io/Logging_2481/kartor/A 51554-2022 karta.png", "A 51554-2022")</f>
        <v/>
      </c>
      <c r="V185">
        <f>HYPERLINK("https://klasma.github.io/Logging_2481/klagomål/A 51554-2022 FSC-klagomål.docx", "A 51554-2022")</f>
        <v/>
      </c>
      <c r="W185">
        <f>HYPERLINK("https://klasma.github.io/Logging_2481/klagomålsmail/A 51554-2022 FSC-klagomål mail.docx", "A 51554-2022")</f>
        <v/>
      </c>
      <c r="X185">
        <f>HYPERLINK("https://klasma.github.io/Logging_2481/tillsyn/A 51554-2022 tillsynsbegäran.docx", "A 51554-2022")</f>
        <v/>
      </c>
      <c r="Y185">
        <f>HYPERLINK("https://klasma.github.io/Logging_2481/tillsynsmail/A 51554-2022 tillsynsbegäran mail.docx", "A 51554-2022")</f>
        <v/>
      </c>
      <c r="Z185">
        <f>HYPERLINK("https://klasma.github.io/Logging_2481/fåglar/A 51554-2022 prioriterade fågelarter.docx", "A 51554-2022")</f>
        <v/>
      </c>
    </row>
    <row r="186" ht="15" customHeight="1">
      <c r="A186" t="inlineStr">
        <is>
          <t>A 54135-2022</t>
        </is>
      </c>
      <c r="B186" s="1" t="n">
        <v>44881</v>
      </c>
      <c r="C186" s="1" t="n">
        <v>45831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4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Revlummer</t>
        </is>
      </c>
      <c r="S186">
        <f>HYPERLINK("https://klasma.github.io/Logging_2481/artfynd/A 54135-2022 artfynd.xlsx", "A 54135-2022")</f>
        <v/>
      </c>
      <c r="T186">
        <f>HYPERLINK("https://klasma.github.io/Logging_2481/kartor/A 54135-2022 karta.png", "A 54135-2022")</f>
        <v/>
      </c>
      <c r="U186">
        <f>HYPERLINK("https://klasma.github.io/Logging_2481/knärot/A 54135-2022 karta knärot.png", "A 54135-2022")</f>
        <v/>
      </c>
      <c r="V186">
        <f>HYPERLINK("https://klasma.github.io/Logging_2481/klagomål/A 54135-2022 FSC-klagomål.docx", "A 54135-2022")</f>
        <v/>
      </c>
      <c r="W186">
        <f>HYPERLINK("https://klasma.github.io/Logging_2481/klagomålsmail/A 54135-2022 FSC-klagomål mail.docx", "A 54135-2022")</f>
        <v/>
      </c>
      <c r="X186">
        <f>HYPERLINK("https://klasma.github.io/Logging_2481/tillsyn/A 54135-2022 tillsynsbegäran.docx", "A 54135-2022")</f>
        <v/>
      </c>
      <c r="Y186">
        <f>HYPERLINK("https://klasma.github.io/Logging_2481/tillsynsmail/A 54135-2022 tillsynsbegäran mail.docx", "A 54135-2022")</f>
        <v/>
      </c>
    </row>
    <row r="187" ht="15" customHeight="1">
      <c r="A187" t="inlineStr">
        <is>
          <t>A 55503-2022</t>
        </is>
      </c>
      <c r="B187" s="1" t="n">
        <v>44887</v>
      </c>
      <c r="C187" s="1" t="n">
        <v>45831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4.5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Fläcknycklar</t>
        </is>
      </c>
      <c r="S187">
        <f>HYPERLINK("https://klasma.github.io/Logging_2481/artfynd/A 55503-2022 artfynd.xlsx", "A 55503-2022")</f>
        <v/>
      </c>
      <c r="T187">
        <f>HYPERLINK("https://klasma.github.io/Logging_2481/kartor/A 55503-2022 karta.png", "A 55503-2022")</f>
        <v/>
      </c>
      <c r="V187">
        <f>HYPERLINK("https://klasma.github.io/Logging_2481/klagomål/A 55503-2022 FSC-klagomål.docx", "A 55503-2022")</f>
        <v/>
      </c>
      <c r="W187">
        <f>HYPERLINK("https://klasma.github.io/Logging_2481/klagomålsmail/A 55503-2022 FSC-klagomål mail.docx", "A 55503-2022")</f>
        <v/>
      </c>
      <c r="X187">
        <f>HYPERLINK("https://klasma.github.io/Logging_2481/tillsyn/A 55503-2022 tillsynsbegäran.docx", "A 55503-2022")</f>
        <v/>
      </c>
      <c r="Y187">
        <f>HYPERLINK("https://klasma.github.io/Logging_2481/tillsynsmail/A 55503-2022 tillsynsbegäran mail.docx", "A 55503-2022")</f>
        <v/>
      </c>
    </row>
    <row r="188" ht="15" customHeight="1">
      <c r="A188" t="inlineStr">
        <is>
          <t>A 57618-2022</t>
        </is>
      </c>
      <c r="B188" s="1" t="n">
        <v>44897</v>
      </c>
      <c r="C188" s="1" t="n">
        <v>45831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Flodpärlmussla</t>
        </is>
      </c>
      <c r="S188">
        <f>HYPERLINK("https://klasma.github.io/Logging_2481/artfynd/A 57618-2022 artfynd.xlsx", "A 57618-2022")</f>
        <v/>
      </c>
      <c r="T188">
        <f>HYPERLINK("https://klasma.github.io/Logging_2481/kartor/A 57618-2022 karta.png", "A 57618-2022")</f>
        <v/>
      </c>
      <c r="V188">
        <f>HYPERLINK("https://klasma.github.io/Logging_2481/klagomål/A 57618-2022 FSC-klagomål.docx", "A 57618-2022")</f>
        <v/>
      </c>
      <c r="W188">
        <f>HYPERLINK("https://klasma.github.io/Logging_2481/klagomålsmail/A 57618-2022 FSC-klagomål mail.docx", "A 57618-2022")</f>
        <v/>
      </c>
      <c r="X188">
        <f>HYPERLINK("https://klasma.github.io/Logging_2481/tillsyn/A 57618-2022 tillsynsbegäran.docx", "A 57618-2022")</f>
        <v/>
      </c>
      <c r="Y188">
        <f>HYPERLINK("https://klasma.github.io/Logging_2481/tillsynsmail/A 57618-2022 tillsynsbegäran mail.docx", "A 57618-2022")</f>
        <v/>
      </c>
    </row>
    <row r="189" ht="15" customHeight="1">
      <c r="A189" t="inlineStr">
        <is>
          <t>A 11552-2023</t>
        </is>
      </c>
      <c r="B189" s="1" t="n">
        <v>44993</v>
      </c>
      <c r="C189" s="1" t="n">
        <v>45831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11</v>
      </c>
      <c r="H189" t="n">
        <v>1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Tornseglare</t>
        </is>
      </c>
      <c r="S189">
        <f>HYPERLINK("https://klasma.github.io/Logging_2481/artfynd/A 11552-2023 artfynd.xlsx", "A 11552-2023")</f>
        <v/>
      </c>
      <c r="T189">
        <f>HYPERLINK("https://klasma.github.io/Logging_2481/kartor/A 11552-2023 karta.png", "A 11552-2023")</f>
        <v/>
      </c>
      <c r="V189">
        <f>HYPERLINK("https://klasma.github.io/Logging_2481/klagomål/A 11552-2023 FSC-klagomål.docx", "A 11552-2023")</f>
        <v/>
      </c>
      <c r="W189">
        <f>HYPERLINK("https://klasma.github.io/Logging_2481/klagomålsmail/A 11552-2023 FSC-klagomål mail.docx", "A 11552-2023")</f>
        <v/>
      </c>
      <c r="X189">
        <f>HYPERLINK("https://klasma.github.io/Logging_2481/tillsyn/A 11552-2023 tillsynsbegäran.docx", "A 11552-2023")</f>
        <v/>
      </c>
      <c r="Y189">
        <f>HYPERLINK("https://klasma.github.io/Logging_2481/tillsynsmail/A 11552-2023 tillsynsbegäran mail.docx", "A 11552-2023")</f>
        <v/>
      </c>
      <c r="Z189">
        <f>HYPERLINK("https://klasma.github.io/Logging_2481/fåglar/A 11552-2023 prioriterade fågelarter.docx", "A 11552-2023")</f>
        <v/>
      </c>
    </row>
    <row r="190" ht="15" customHeight="1">
      <c r="A190" t="inlineStr">
        <is>
          <t>A 15114-2023</t>
        </is>
      </c>
      <c r="B190" s="1" t="n">
        <v>45015</v>
      </c>
      <c r="C190" s="1" t="n">
        <v>45831</v>
      </c>
      <c r="D190" t="inlineStr">
        <is>
          <t>VÄSTERBOTTENS LÄN</t>
        </is>
      </c>
      <c r="E190" t="inlineStr">
        <is>
          <t>LYCKSELE</t>
        </is>
      </c>
      <c r="G190" t="n">
        <v>8.5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Gammelgransskål</t>
        </is>
      </c>
      <c r="S190">
        <f>HYPERLINK("https://klasma.github.io/Logging_2481/artfynd/A 15114-2023 artfynd.xlsx", "A 15114-2023")</f>
        <v/>
      </c>
      <c r="T190">
        <f>HYPERLINK("https://klasma.github.io/Logging_2481/kartor/A 15114-2023 karta.png", "A 15114-2023")</f>
        <v/>
      </c>
      <c r="V190">
        <f>HYPERLINK("https://klasma.github.io/Logging_2481/klagomål/A 15114-2023 FSC-klagomål.docx", "A 15114-2023")</f>
        <v/>
      </c>
      <c r="W190">
        <f>HYPERLINK("https://klasma.github.io/Logging_2481/klagomålsmail/A 15114-2023 FSC-klagomål mail.docx", "A 15114-2023")</f>
        <v/>
      </c>
      <c r="X190">
        <f>HYPERLINK("https://klasma.github.io/Logging_2481/tillsyn/A 15114-2023 tillsynsbegäran.docx", "A 15114-2023")</f>
        <v/>
      </c>
      <c r="Y190">
        <f>HYPERLINK("https://klasma.github.io/Logging_2481/tillsynsmail/A 15114-2023 tillsynsbegäran mail.docx", "A 15114-2023")</f>
        <v/>
      </c>
    </row>
    <row r="191" ht="15" customHeight="1">
      <c r="A191" t="inlineStr">
        <is>
          <t>A 20940-2023</t>
        </is>
      </c>
      <c r="B191" s="1" t="n">
        <v>45061</v>
      </c>
      <c r="C191" s="1" t="n">
        <v>45831</v>
      </c>
      <c r="D191" t="inlineStr">
        <is>
          <t>VÄSTERBOTTENS LÄN</t>
        </is>
      </c>
      <c r="E191" t="inlineStr">
        <is>
          <t>LYCKSELE</t>
        </is>
      </c>
      <c r="G191" t="n">
        <v>4.6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Dropptaggsvamp</t>
        </is>
      </c>
      <c r="S191">
        <f>HYPERLINK("https://klasma.github.io/Logging_2481/artfynd/A 20940-2023 artfynd.xlsx", "A 20940-2023")</f>
        <v/>
      </c>
      <c r="T191">
        <f>HYPERLINK("https://klasma.github.io/Logging_2481/kartor/A 20940-2023 karta.png", "A 20940-2023")</f>
        <v/>
      </c>
      <c r="V191">
        <f>HYPERLINK("https://klasma.github.io/Logging_2481/klagomål/A 20940-2023 FSC-klagomål.docx", "A 20940-2023")</f>
        <v/>
      </c>
      <c r="W191">
        <f>HYPERLINK("https://klasma.github.io/Logging_2481/klagomålsmail/A 20940-2023 FSC-klagomål mail.docx", "A 20940-2023")</f>
        <v/>
      </c>
      <c r="X191">
        <f>HYPERLINK("https://klasma.github.io/Logging_2481/tillsyn/A 20940-2023 tillsynsbegäran.docx", "A 20940-2023")</f>
        <v/>
      </c>
      <c r="Y191">
        <f>HYPERLINK("https://klasma.github.io/Logging_2481/tillsynsmail/A 20940-2023 tillsynsbegäran mail.docx", "A 20940-2023")</f>
        <v/>
      </c>
    </row>
    <row r="192" ht="15" customHeight="1">
      <c r="A192" t="inlineStr">
        <is>
          <t>A 27447-2023</t>
        </is>
      </c>
      <c r="B192" s="1" t="n">
        <v>45097</v>
      </c>
      <c r="C192" s="1" t="n">
        <v>45831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13.8</v>
      </c>
      <c r="H192" t="n">
        <v>0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Gräddticka</t>
        </is>
      </c>
      <c r="S192">
        <f>HYPERLINK("https://klasma.github.io/Logging_2481/artfynd/A 27447-2023 artfynd.xlsx", "A 27447-2023")</f>
        <v/>
      </c>
      <c r="T192">
        <f>HYPERLINK("https://klasma.github.io/Logging_2481/kartor/A 27447-2023 karta.png", "A 27447-2023")</f>
        <v/>
      </c>
      <c r="V192">
        <f>HYPERLINK("https://klasma.github.io/Logging_2481/klagomål/A 27447-2023 FSC-klagomål.docx", "A 27447-2023")</f>
        <v/>
      </c>
      <c r="W192">
        <f>HYPERLINK("https://klasma.github.io/Logging_2481/klagomålsmail/A 27447-2023 FSC-klagomål mail.docx", "A 27447-2023")</f>
        <v/>
      </c>
      <c r="X192">
        <f>HYPERLINK("https://klasma.github.io/Logging_2481/tillsyn/A 27447-2023 tillsynsbegäran.docx", "A 27447-2023")</f>
        <v/>
      </c>
      <c r="Y192">
        <f>HYPERLINK("https://klasma.github.io/Logging_2481/tillsynsmail/A 27447-2023 tillsynsbegäran mail.docx", "A 27447-2023")</f>
        <v/>
      </c>
    </row>
    <row r="193" ht="15" customHeight="1">
      <c r="A193" t="inlineStr">
        <is>
          <t>A 29561-2023</t>
        </is>
      </c>
      <c r="B193" s="1" t="n">
        <v>45106</v>
      </c>
      <c r="C193" s="1" t="n">
        <v>45831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26.7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HYPERLINK("https://klasma.github.io/Logging_2481/artfynd/A 29561-2023 artfynd.xlsx", "A 29561-2023")</f>
        <v/>
      </c>
      <c r="T193">
        <f>HYPERLINK("https://klasma.github.io/Logging_2481/kartor/A 29561-2023 karta.png", "A 29561-2023")</f>
        <v/>
      </c>
      <c r="V193">
        <f>HYPERLINK("https://klasma.github.io/Logging_2481/klagomål/A 29561-2023 FSC-klagomål.docx", "A 29561-2023")</f>
        <v/>
      </c>
      <c r="W193">
        <f>HYPERLINK("https://klasma.github.io/Logging_2481/klagomålsmail/A 29561-2023 FSC-klagomål mail.docx", "A 29561-2023")</f>
        <v/>
      </c>
      <c r="X193">
        <f>HYPERLINK("https://klasma.github.io/Logging_2481/tillsyn/A 29561-2023 tillsynsbegäran.docx", "A 29561-2023")</f>
        <v/>
      </c>
      <c r="Y193">
        <f>HYPERLINK("https://klasma.github.io/Logging_2481/tillsynsmail/A 29561-2023 tillsynsbegäran mail.docx", "A 29561-2023")</f>
        <v/>
      </c>
    </row>
    <row r="194" ht="15" customHeight="1">
      <c r="A194" t="inlineStr">
        <is>
          <t>A 32661-2023</t>
        </is>
      </c>
      <c r="B194" s="1" t="n">
        <v>45121</v>
      </c>
      <c r="C194" s="1" t="n">
        <v>45831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14.2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Lunglav</t>
        </is>
      </c>
      <c r="S194">
        <f>HYPERLINK("https://klasma.github.io/Logging_2481/artfynd/A 32661-2023 artfynd.xlsx", "A 32661-2023")</f>
        <v/>
      </c>
      <c r="T194">
        <f>HYPERLINK("https://klasma.github.io/Logging_2481/kartor/A 32661-2023 karta.png", "A 32661-2023")</f>
        <v/>
      </c>
      <c r="V194">
        <f>HYPERLINK("https://klasma.github.io/Logging_2481/klagomål/A 32661-2023 FSC-klagomål.docx", "A 32661-2023")</f>
        <v/>
      </c>
      <c r="W194">
        <f>HYPERLINK("https://klasma.github.io/Logging_2481/klagomålsmail/A 32661-2023 FSC-klagomål mail.docx", "A 32661-2023")</f>
        <v/>
      </c>
      <c r="X194">
        <f>HYPERLINK("https://klasma.github.io/Logging_2481/tillsyn/A 32661-2023 tillsynsbegäran.docx", "A 32661-2023")</f>
        <v/>
      </c>
      <c r="Y194">
        <f>HYPERLINK("https://klasma.github.io/Logging_2481/tillsynsmail/A 32661-2023 tillsynsbegäran mail.docx", "A 32661-2023")</f>
        <v/>
      </c>
    </row>
    <row r="195" ht="15" customHeight="1">
      <c r="A195" t="inlineStr">
        <is>
          <t>A 34781-2023</t>
        </is>
      </c>
      <c r="B195" s="1" t="n">
        <v>45141</v>
      </c>
      <c r="C195" s="1" t="n">
        <v>45831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6.8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Dropptaggsvamp</t>
        </is>
      </c>
      <c r="S195">
        <f>HYPERLINK("https://klasma.github.io/Logging_2481/artfynd/A 34781-2023 artfynd.xlsx", "A 34781-2023")</f>
        <v/>
      </c>
      <c r="T195">
        <f>HYPERLINK("https://klasma.github.io/Logging_2481/kartor/A 34781-2023 karta.png", "A 34781-2023")</f>
        <v/>
      </c>
      <c r="V195">
        <f>HYPERLINK("https://klasma.github.io/Logging_2481/klagomål/A 34781-2023 FSC-klagomål.docx", "A 34781-2023")</f>
        <v/>
      </c>
      <c r="W195">
        <f>HYPERLINK("https://klasma.github.io/Logging_2481/klagomålsmail/A 34781-2023 FSC-klagomål mail.docx", "A 34781-2023")</f>
        <v/>
      </c>
      <c r="X195">
        <f>HYPERLINK("https://klasma.github.io/Logging_2481/tillsyn/A 34781-2023 tillsynsbegäran.docx", "A 34781-2023")</f>
        <v/>
      </c>
      <c r="Y195">
        <f>HYPERLINK("https://klasma.github.io/Logging_2481/tillsynsmail/A 34781-2023 tillsynsbegäran mail.docx", "A 34781-2023")</f>
        <v/>
      </c>
    </row>
    <row r="196" ht="15" customHeight="1">
      <c r="A196" t="inlineStr">
        <is>
          <t>A 34871-2023</t>
        </is>
      </c>
      <c r="B196" s="1" t="n">
        <v>45142</v>
      </c>
      <c r="C196" s="1" t="n">
        <v>45831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11.1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Mörk kolflarnlav</t>
        </is>
      </c>
      <c r="S196">
        <f>HYPERLINK("https://klasma.github.io/Logging_2481/artfynd/A 34871-2023 artfynd.xlsx", "A 34871-2023")</f>
        <v/>
      </c>
      <c r="T196">
        <f>HYPERLINK("https://klasma.github.io/Logging_2481/kartor/A 34871-2023 karta.png", "A 34871-2023")</f>
        <v/>
      </c>
      <c r="V196">
        <f>HYPERLINK("https://klasma.github.io/Logging_2481/klagomål/A 34871-2023 FSC-klagomål.docx", "A 34871-2023")</f>
        <v/>
      </c>
      <c r="W196">
        <f>HYPERLINK("https://klasma.github.io/Logging_2481/klagomålsmail/A 34871-2023 FSC-klagomål mail.docx", "A 34871-2023")</f>
        <v/>
      </c>
      <c r="X196">
        <f>HYPERLINK("https://klasma.github.io/Logging_2481/tillsyn/A 34871-2023 tillsynsbegäran.docx", "A 34871-2023")</f>
        <v/>
      </c>
      <c r="Y196">
        <f>HYPERLINK("https://klasma.github.io/Logging_2481/tillsynsmail/A 34871-2023 tillsynsbegäran mail.docx", "A 34871-2023")</f>
        <v/>
      </c>
    </row>
    <row r="197" ht="15" customHeight="1">
      <c r="A197" t="inlineStr">
        <is>
          <t>A 37612-2023</t>
        </is>
      </c>
      <c r="B197" s="1" t="n">
        <v>45159</v>
      </c>
      <c r="C197" s="1" t="n">
        <v>45831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3.6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Dropptaggsvamp</t>
        </is>
      </c>
      <c r="S197">
        <f>HYPERLINK("https://klasma.github.io/Logging_2481/artfynd/A 37612-2023 artfynd.xlsx", "A 37612-2023")</f>
        <v/>
      </c>
      <c r="T197">
        <f>HYPERLINK("https://klasma.github.io/Logging_2481/kartor/A 37612-2023 karta.png", "A 37612-2023")</f>
        <v/>
      </c>
      <c r="V197">
        <f>HYPERLINK("https://klasma.github.io/Logging_2481/klagomål/A 37612-2023 FSC-klagomål.docx", "A 37612-2023")</f>
        <v/>
      </c>
      <c r="W197">
        <f>HYPERLINK("https://klasma.github.io/Logging_2481/klagomålsmail/A 37612-2023 FSC-klagomål mail.docx", "A 37612-2023")</f>
        <v/>
      </c>
      <c r="X197">
        <f>HYPERLINK("https://klasma.github.io/Logging_2481/tillsyn/A 37612-2023 tillsynsbegäran.docx", "A 37612-2023")</f>
        <v/>
      </c>
      <c r="Y197">
        <f>HYPERLINK("https://klasma.github.io/Logging_2481/tillsynsmail/A 37612-2023 tillsynsbegäran mail.docx", "A 37612-2023")</f>
        <v/>
      </c>
    </row>
    <row r="198" ht="15" customHeight="1">
      <c r="A198" t="inlineStr">
        <is>
          <t>A 38507-2023</t>
        </is>
      </c>
      <c r="B198" s="1" t="n">
        <v>45162</v>
      </c>
      <c r="C198" s="1" t="n">
        <v>45831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Blå taggsvamp</t>
        </is>
      </c>
      <c r="S198">
        <f>HYPERLINK("https://klasma.github.io/Logging_2481/artfynd/A 38507-2023 artfynd.xlsx", "A 38507-2023")</f>
        <v/>
      </c>
      <c r="T198">
        <f>HYPERLINK("https://klasma.github.io/Logging_2481/kartor/A 38507-2023 karta.png", "A 38507-2023")</f>
        <v/>
      </c>
      <c r="V198">
        <f>HYPERLINK("https://klasma.github.io/Logging_2481/klagomål/A 38507-2023 FSC-klagomål.docx", "A 38507-2023")</f>
        <v/>
      </c>
      <c r="W198">
        <f>HYPERLINK("https://klasma.github.io/Logging_2481/klagomålsmail/A 38507-2023 FSC-klagomål mail.docx", "A 38507-2023")</f>
        <v/>
      </c>
      <c r="X198">
        <f>HYPERLINK("https://klasma.github.io/Logging_2481/tillsyn/A 38507-2023 tillsynsbegäran.docx", "A 38507-2023")</f>
        <v/>
      </c>
      <c r="Y198">
        <f>HYPERLINK("https://klasma.github.io/Logging_2481/tillsynsmail/A 38507-2023 tillsynsbegäran mail.docx", "A 38507-2023")</f>
        <v/>
      </c>
    </row>
    <row r="199" ht="15" customHeight="1">
      <c r="A199" t="inlineStr">
        <is>
          <t>A 40526-2023</t>
        </is>
      </c>
      <c r="B199" s="1" t="n">
        <v>45170</v>
      </c>
      <c r="C199" s="1" t="n">
        <v>45831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27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Dropptaggsvamp</t>
        </is>
      </c>
      <c r="S199">
        <f>HYPERLINK("https://klasma.github.io/Logging_2481/artfynd/A 40526-2023 artfynd.xlsx", "A 40526-2023")</f>
        <v/>
      </c>
      <c r="T199">
        <f>HYPERLINK("https://klasma.github.io/Logging_2481/kartor/A 40526-2023 karta.png", "A 40526-2023")</f>
        <v/>
      </c>
      <c r="V199">
        <f>HYPERLINK("https://klasma.github.io/Logging_2481/klagomål/A 40526-2023 FSC-klagomål.docx", "A 40526-2023")</f>
        <v/>
      </c>
      <c r="W199">
        <f>HYPERLINK("https://klasma.github.io/Logging_2481/klagomålsmail/A 40526-2023 FSC-klagomål mail.docx", "A 40526-2023")</f>
        <v/>
      </c>
      <c r="X199">
        <f>HYPERLINK("https://klasma.github.io/Logging_2481/tillsyn/A 40526-2023 tillsynsbegäran.docx", "A 40526-2023")</f>
        <v/>
      </c>
      <c r="Y199">
        <f>HYPERLINK("https://klasma.github.io/Logging_2481/tillsynsmail/A 40526-2023 tillsynsbegäran mail.docx", "A 40526-2023")</f>
        <v/>
      </c>
    </row>
    <row r="200" ht="15" customHeight="1">
      <c r="A200" t="inlineStr">
        <is>
          <t>A 41432-2023</t>
        </is>
      </c>
      <c r="B200" s="1" t="n">
        <v>45175</v>
      </c>
      <c r="C200" s="1" t="n">
        <v>45831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3.4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Dropptaggsvamp</t>
        </is>
      </c>
      <c r="S200">
        <f>HYPERLINK("https://klasma.github.io/Logging_2481/artfynd/A 41432-2023 artfynd.xlsx", "A 41432-2023")</f>
        <v/>
      </c>
      <c r="T200">
        <f>HYPERLINK("https://klasma.github.io/Logging_2481/kartor/A 41432-2023 karta.png", "A 41432-2023")</f>
        <v/>
      </c>
      <c r="V200">
        <f>HYPERLINK("https://klasma.github.io/Logging_2481/klagomål/A 41432-2023 FSC-klagomål.docx", "A 41432-2023")</f>
        <v/>
      </c>
      <c r="W200">
        <f>HYPERLINK("https://klasma.github.io/Logging_2481/klagomålsmail/A 41432-2023 FSC-klagomål mail.docx", "A 41432-2023")</f>
        <v/>
      </c>
      <c r="X200">
        <f>HYPERLINK("https://klasma.github.io/Logging_2481/tillsyn/A 41432-2023 tillsynsbegäran.docx", "A 41432-2023")</f>
        <v/>
      </c>
      <c r="Y200">
        <f>HYPERLINK("https://klasma.github.io/Logging_2481/tillsynsmail/A 41432-2023 tillsynsbegäran mail.docx", "A 41432-2023")</f>
        <v/>
      </c>
    </row>
    <row r="201" ht="15" customHeight="1">
      <c r="A201" t="inlineStr">
        <is>
          <t>A 43619-2023</t>
        </is>
      </c>
      <c r="B201" s="1" t="n">
        <v>45184</v>
      </c>
      <c r="C201" s="1" t="n">
        <v>45831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6.6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HYPERLINK("https://klasma.github.io/Logging_2481/artfynd/A 43619-2023 artfynd.xlsx", "A 43619-2023")</f>
        <v/>
      </c>
      <c r="T201">
        <f>HYPERLINK("https://klasma.github.io/Logging_2481/kartor/A 43619-2023 karta.png", "A 43619-2023")</f>
        <v/>
      </c>
      <c r="V201">
        <f>HYPERLINK("https://klasma.github.io/Logging_2481/klagomål/A 43619-2023 FSC-klagomål.docx", "A 43619-2023")</f>
        <v/>
      </c>
      <c r="W201">
        <f>HYPERLINK("https://klasma.github.io/Logging_2481/klagomålsmail/A 43619-2023 FSC-klagomål mail.docx", "A 43619-2023")</f>
        <v/>
      </c>
      <c r="X201">
        <f>HYPERLINK("https://klasma.github.io/Logging_2481/tillsyn/A 43619-2023 tillsynsbegäran.docx", "A 43619-2023")</f>
        <v/>
      </c>
      <c r="Y201">
        <f>HYPERLINK("https://klasma.github.io/Logging_2481/tillsynsmail/A 43619-2023 tillsynsbegäran mail.docx", "A 43619-2023")</f>
        <v/>
      </c>
    </row>
    <row r="202" ht="15" customHeight="1">
      <c r="A202" t="inlineStr">
        <is>
          <t>A 43616-2023</t>
        </is>
      </c>
      <c r="B202" s="1" t="n">
        <v>45184</v>
      </c>
      <c r="C202" s="1" t="n">
        <v>45831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10.2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43616-2023 artfynd.xlsx", "A 43616-2023")</f>
        <v/>
      </c>
      <c r="T202">
        <f>HYPERLINK("https://klasma.github.io/Logging_2481/kartor/A 43616-2023 karta.png", "A 43616-2023")</f>
        <v/>
      </c>
      <c r="V202">
        <f>HYPERLINK("https://klasma.github.io/Logging_2481/klagomål/A 43616-2023 FSC-klagomål.docx", "A 43616-2023")</f>
        <v/>
      </c>
      <c r="W202">
        <f>HYPERLINK("https://klasma.github.io/Logging_2481/klagomålsmail/A 43616-2023 FSC-klagomål mail.docx", "A 43616-2023")</f>
        <v/>
      </c>
      <c r="X202">
        <f>HYPERLINK("https://klasma.github.io/Logging_2481/tillsyn/A 43616-2023 tillsynsbegäran.docx", "A 43616-2023")</f>
        <v/>
      </c>
      <c r="Y202">
        <f>HYPERLINK("https://klasma.github.io/Logging_2481/tillsynsmail/A 43616-2023 tillsynsbegäran mail.docx", "A 43616-2023")</f>
        <v/>
      </c>
    </row>
    <row r="203" ht="15" customHeight="1">
      <c r="A203" t="inlineStr">
        <is>
          <t>A 44194-2023</t>
        </is>
      </c>
      <c r="B203" s="1" t="n">
        <v>45188</v>
      </c>
      <c r="C203" s="1" t="n">
        <v>45831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HYPERLINK("https://klasma.github.io/Logging_2481/artfynd/A 44194-2023 artfynd.xlsx", "A 44194-2023")</f>
        <v/>
      </c>
      <c r="T203">
        <f>HYPERLINK("https://klasma.github.io/Logging_2481/kartor/A 44194-2023 karta.png", "A 44194-2023")</f>
        <v/>
      </c>
      <c r="V203">
        <f>HYPERLINK("https://klasma.github.io/Logging_2481/klagomål/A 44194-2023 FSC-klagomål.docx", "A 44194-2023")</f>
        <v/>
      </c>
      <c r="W203">
        <f>HYPERLINK("https://klasma.github.io/Logging_2481/klagomålsmail/A 44194-2023 FSC-klagomål mail.docx", "A 44194-2023")</f>
        <v/>
      </c>
      <c r="X203">
        <f>HYPERLINK("https://klasma.github.io/Logging_2481/tillsyn/A 44194-2023 tillsynsbegäran.docx", "A 44194-2023")</f>
        <v/>
      </c>
      <c r="Y203">
        <f>HYPERLINK("https://klasma.github.io/Logging_2481/tillsynsmail/A 44194-2023 tillsynsbegäran mail.docx", "A 44194-2023")</f>
        <v/>
      </c>
    </row>
    <row r="204" ht="15" customHeight="1">
      <c r="A204" t="inlineStr">
        <is>
          <t>A 46114-2023</t>
        </is>
      </c>
      <c r="B204" s="1" t="n">
        <v>45196</v>
      </c>
      <c r="C204" s="1" t="n">
        <v>45831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15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Dropptaggsvamp</t>
        </is>
      </c>
      <c r="S204">
        <f>HYPERLINK("https://klasma.github.io/Logging_2481/artfynd/A 46114-2023 artfynd.xlsx", "A 46114-2023")</f>
        <v/>
      </c>
      <c r="T204">
        <f>HYPERLINK("https://klasma.github.io/Logging_2481/kartor/A 46114-2023 karta.png", "A 46114-2023")</f>
        <v/>
      </c>
      <c r="V204">
        <f>HYPERLINK("https://klasma.github.io/Logging_2481/klagomål/A 46114-2023 FSC-klagomål.docx", "A 46114-2023")</f>
        <v/>
      </c>
      <c r="W204">
        <f>HYPERLINK("https://klasma.github.io/Logging_2481/klagomålsmail/A 46114-2023 FSC-klagomål mail.docx", "A 46114-2023")</f>
        <v/>
      </c>
      <c r="X204">
        <f>HYPERLINK("https://klasma.github.io/Logging_2481/tillsyn/A 46114-2023 tillsynsbegäran.docx", "A 46114-2023")</f>
        <v/>
      </c>
      <c r="Y204">
        <f>HYPERLINK("https://klasma.github.io/Logging_2481/tillsynsmail/A 46114-2023 tillsynsbegäran mail.docx", "A 46114-2023")</f>
        <v/>
      </c>
    </row>
    <row r="205" ht="15" customHeight="1">
      <c r="A205" t="inlineStr">
        <is>
          <t>A 50997-2023</t>
        </is>
      </c>
      <c r="B205" s="1" t="n">
        <v>45218</v>
      </c>
      <c r="C205" s="1" t="n">
        <v>45831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12.7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HYPERLINK("https://klasma.github.io/Logging_2481/artfynd/A 50997-2023 artfynd.xlsx", "A 50997-2023")</f>
        <v/>
      </c>
      <c r="T205">
        <f>HYPERLINK("https://klasma.github.io/Logging_2481/kartor/A 50997-2023 karta.png", "A 50997-2023")</f>
        <v/>
      </c>
      <c r="V205">
        <f>HYPERLINK("https://klasma.github.io/Logging_2481/klagomål/A 50997-2023 FSC-klagomål.docx", "A 50997-2023")</f>
        <v/>
      </c>
      <c r="W205">
        <f>HYPERLINK("https://klasma.github.io/Logging_2481/klagomålsmail/A 50997-2023 FSC-klagomål mail.docx", "A 50997-2023")</f>
        <v/>
      </c>
      <c r="X205">
        <f>HYPERLINK("https://klasma.github.io/Logging_2481/tillsyn/A 50997-2023 tillsynsbegäran.docx", "A 50997-2023")</f>
        <v/>
      </c>
      <c r="Y205">
        <f>HYPERLINK("https://klasma.github.io/Logging_2481/tillsynsmail/A 50997-2023 tillsynsbegäran mail.docx", "A 50997-2023")</f>
        <v/>
      </c>
    </row>
    <row r="206" ht="15" customHeight="1">
      <c r="A206" t="inlineStr">
        <is>
          <t>A 52929-2023</t>
        </is>
      </c>
      <c r="B206" s="1" t="n">
        <v>45226</v>
      </c>
      <c r="C206" s="1" t="n">
        <v>45831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8.4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HYPERLINK("https://klasma.github.io/Logging_2481/artfynd/A 52929-2023 artfynd.xlsx", "A 52929-2023")</f>
        <v/>
      </c>
      <c r="T206">
        <f>HYPERLINK("https://klasma.github.io/Logging_2481/kartor/A 52929-2023 karta.png", "A 52929-2023")</f>
        <v/>
      </c>
      <c r="V206">
        <f>HYPERLINK("https://klasma.github.io/Logging_2481/klagomål/A 52929-2023 FSC-klagomål.docx", "A 52929-2023")</f>
        <v/>
      </c>
      <c r="W206">
        <f>HYPERLINK("https://klasma.github.io/Logging_2481/klagomålsmail/A 52929-2023 FSC-klagomål mail.docx", "A 52929-2023")</f>
        <v/>
      </c>
      <c r="X206">
        <f>HYPERLINK("https://klasma.github.io/Logging_2481/tillsyn/A 52929-2023 tillsynsbegäran.docx", "A 52929-2023")</f>
        <v/>
      </c>
      <c r="Y206">
        <f>HYPERLINK("https://klasma.github.io/Logging_2481/tillsynsmail/A 52929-2023 tillsynsbegäran mail.docx", "A 52929-2023")</f>
        <v/>
      </c>
    </row>
    <row r="207" ht="15" customHeight="1">
      <c r="A207" t="inlineStr">
        <is>
          <t>A 53869-2023</t>
        </is>
      </c>
      <c r="B207" s="1" t="n">
        <v>45231</v>
      </c>
      <c r="C207" s="1" t="n">
        <v>45831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5.6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Dropptaggsvamp</t>
        </is>
      </c>
      <c r="S207">
        <f>HYPERLINK("https://klasma.github.io/Logging_2481/artfynd/A 53869-2023 artfynd.xlsx", "A 53869-2023")</f>
        <v/>
      </c>
      <c r="T207">
        <f>HYPERLINK("https://klasma.github.io/Logging_2481/kartor/A 53869-2023 karta.png", "A 53869-2023")</f>
        <v/>
      </c>
      <c r="V207">
        <f>HYPERLINK("https://klasma.github.io/Logging_2481/klagomål/A 53869-2023 FSC-klagomål.docx", "A 53869-2023")</f>
        <v/>
      </c>
      <c r="W207">
        <f>HYPERLINK("https://klasma.github.io/Logging_2481/klagomålsmail/A 53869-2023 FSC-klagomål mail.docx", "A 53869-2023")</f>
        <v/>
      </c>
      <c r="X207">
        <f>HYPERLINK("https://klasma.github.io/Logging_2481/tillsyn/A 53869-2023 tillsynsbegäran.docx", "A 53869-2023")</f>
        <v/>
      </c>
      <c r="Y207">
        <f>HYPERLINK("https://klasma.github.io/Logging_2481/tillsynsmail/A 53869-2023 tillsynsbegäran mail.docx", "A 53869-2023")</f>
        <v/>
      </c>
    </row>
    <row r="208" ht="15" customHeight="1">
      <c r="A208" t="inlineStr">
        <is>
          <t>A 57462-2023</t>
        </is>
      </c>
      <c r="B208" s="1" t="n">
        <v>45246</v>
      </c>
      <c r="C208" s="1" t="n">
        <v>45831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8.800000000000001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Mörk kolflarnlav</t>
        </is>
      </c>
      <c r="S208">
        <f>HYPERLINK("https://klasma.github.io/Logging_2481/artfynd/A 57462-2023 artfynd.xlsx", "A 57462-2023")</f>
        <v/>
      </c>
      <c r="T208">
        <f>HYPERLINK("https://klasma.github.io/Logging_2481/kartor/A 57462-2023 karta.png", "A 57462-2023")</f>
        <v/>
      </c>
      <c r="V208">
        <f>HYPERLINK("https://klasma.github.io/Logging_2481/klagomål/A 57462-2023 FSC-klagomål.docx", "A 57462-2023")</f>
        <v/>
      </c>
      <c r="W208">
        <f>HYPERLINK("https://klasma.github.io/Logging_2481/klagomålsmail/A 57462-2023 FSC-klagomål mail.docx", "A 57462-2023")</f>
        <v/>
      </c>
      <c r="X208">
        <f>HYPERLINK("https://klasma.github.io/Logging_2481/tillsyn/A 57462-2023 tillsynsbegäran.docx", "A 57462-2023")</f>
        <v/>
      </c>
      <c r="Y208">
        <f>HYPERLINK("https://klasma.github.io/Logging_2481/tillsynsmail/A 57462-2023 tillsynsbegäran mail.docx", "A 57462-2023")</f>
        <v/>
      </c>
    </row>
    <row r="209" ht="15" customHeight="1">
      <c r="A209" t="inlineStr">
        <is>
          <t>A 58657-2023</t>
        </is>
      </c>
      <c r="B209" s="1" t="n">
        <v>45251</v>
      </c>
      <c r="C209" s="1" t="n">
        <v>45831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14.4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Bollvitmossa</t>
        </is>
      </c>
      <c r="S209">
        <f>HYPERLINK("https://klasma.github.io/Logging_2481/artfynd/A 58657-2023 artfynd.xlsx", "A 58657-2023")</f>
        <v/>
      </c>
      <c r="T209">
        <f>HYPERLINK("https://klasma.github.io/Logging_2481/kartor/A 58657-2023 karta.png", "A 58657-2023")</f>
        <v/>
      </c>
      <c r="V209">
        <f>HYPERLINK("https://klasma.github.io/Logging_2481/klagomål/A 58657-2023 FSC-klagomål.docx", "A 58657-2023")</f>
        <v/>
      </c>
      <c r="W209">
        <f>HYPERLINK("https://klasma.github.io/Logging_2481/klagomålsmail/A 58657-2023 FSC-klagomål mail.docx", "A 58657-2023")</f>
        <v/>
      </c>
      <c r="X209">
        <f>HYPERLINK("https://klasma.github.io/Logging_2481/tillsyn/A 58657-2023 tillsynsbegäran.docx", "A 58657-2023")</f>
        <v/>
      </c>
      <c r="Y209">
        <f>HYPERLINK("https://klasma.github.io/Logging_2481/tillsynsmail/A 58657-2023 tillsynsbegäran mail.docx", "A 58657-2023")</f>
        <v/>
      </c>
    </row>
    <row r="210" ht="15" customHeight="1">
      <c r="A210" t="inlineStr">
        <is>
          <t>A 59300-2023</t>
        </is>
      </c>
      <c r="B210" s="1" t="n">
        <v>45253</v>
      </c>
      <c r="C210" s="1" t="n">
        <v>45831</v>
      </c>
      <c r="D210" t="inlineStr">
        <is>
          <t>VÄSTERBOTTENS LÄN</t>
        </is>
      </c>
      <c r="E210" t="inlineStr">
        <is>
          <t>LYCKSELE</t>
        </is>
      </c>
      <c r="G210" t="n">
        <v>22.1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Fläcknycklar</t>
        </is>
      </c>
      <c r="S210">
        <f>HYPERLINK("https://klasma.github.io/Logging_2481/artfynd/A 59300-2023 artfynd.xlsx", "A 59300-2023")</f>
        <v/>
      </c>
      <c r="T210">
        <f>HYPERLINK("https://klasma.github.io/Logging_2481/kartor/A 59300-2023 karta.png", "A 59300-2023")</f>
        <v/>
      </c>
      <c r="V210">
        <f>HYPERLINK("https://klasma.github.io/Logging_2481/klagomål/A 59300-2023 FSC-klagomål.docx", "A 59300-2023")</f>
        <v/>
      </c>
      <c r="W210">
        <f>HYPERLINK("https://klasma.github.io/Logging_2481/klagomålsmail/A 59300-2023 FSC-klagomål mail.docx", "A 59300-2023")</f>
        <v/>
      </c>
      <c r="X210">
        <f>HYPERLINK("https://klasma.github.io/Logging_2481/tillsyn/A 59300-2023 tillsynsbegäran.docx", "A 59300-2023")</f>
        <v/>
      </c>
      <c r="Y210">
        <f>HYPERLINK("https://klasma.github.io/Logging_2481/tillsynsmail/A 59300-2023 tillsynsbegäran mail.docx", "A 59300-2023")</f>
        <v/>
      </c>
    </row>
    <row r="211" ht="15" customHeight="1">
      <c r="A211" t="inlineStr">
        <is>
          <t>A 61590-2023</t>
        </is>
      </c>
      <c r="B211" s="1" t="n">
        <v>45265</v>
      </c>
      <c r="C211" s="1" t="n">
        <v>45831</v>
      </c>
      <c r="D211" t="inlineStr">
        <is>
          <t>VÄSTERBOTTENS LÄN</t>
        </is>
      </c>
      <c r="E211" t="inlineStr">
        <is>
          <t>LYCKSELE</t>
        </is>
      </c>
      <c r="G211" t="n">
        <v>8.800000000000001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Plattlummer</t>
        </is>
      </c>
      <c r="S211">
        <f>HYPERLINK("https://klasma.github.io/Logging_2481/artfynd/A 61590-2023 artfynd.xlsx", "A 61590-2023")</f>
        <v/>
      </c>
      <c r="T211">
        <f>HYPERLINK("https://klasma.github.io/Logging_2481/kartor/A 61590-2023 karta.png", "A 61590-2023")</f>
        <v/>
      </c>
      <c r="V211">
        <f>HYPERLINK("https://klasma.github.io/Logging_2481/klagomål/A 61590-2023 FSC-klagomål.docx", "A 61590-2023")</f>
        <v/>
      </c>
      <c r="W211">
        <f>HYPERLINK("https://klasma.github.io/Logging_2481/klagomålsmail/A 61590-2023 FSC-klagomål mail.docx", "A 61590-2023")</f>
        <v/>
      </c>
      <c r="X211">
        <f>HYPERLINK("https://klasma.github.io/Logging_2481/tillsyn/A 61590-2023 tillsynsbegäran.docx", "A 61590-2023")</f>
        <v/>
      </c>
      <c r="Y211">
        <f>HYPERLINK("https://klasma.github.io/Logging_2481/tillsynsmail/A 61590-2023 tillsynsbegäran mail.docx", "A 61590-2023")</f>
        <v/>
      </c>
    </row>
    <row r="212" ht="15" customHeight="1">
      <c r="A212" t="inlineStr">
        <is>
          <t>A 496-2024</t>
        </is>
      </c>
      <c r="B212" s="1" t="n">
        <v>45299</v>
      </c>
      <c r="C212" s="1" t="n">
        <v>45831</v>
      </c>
      <c r="D212" t="inlineStr">
        <is>
          <t>VÄSTERBOTTENS LÄN</t>
        </is>
      </c>
      <c r="E212" t="inlineStr">
        <is>
          <t>LYCKSELE</t>
        </is>
      </c>
      <c r="G212" t="n">
        <v>5.2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Tretåig hackspett</t>
        </is>
      </c>
      <c r="S212">
        <f>HYPERLINK("https://klasma.github.io/Logging_2481/artfynd/A 496-2024 artfynd.xlsx", "A 496-2024")</f>
        <v/>
      </c>
      <c r="T212">
        <f>HYPERLINK("https://klasma.github.io/Logging_2481/kartor/A 496-2024 karta.png", "A 496-2024")</f>
        <v/>
      </c>
      <c r="V212">
        <f>HYPERLINK("https://klasma.github.io/Logging_2481/klagomål/A 496-2024 FSC-klagomål.docx", "A 496-2024")</f>
        <v/>
      </c>
      <c r="W212">
        <f>HYPERLINK("https://klasma.github.io/Logging_2481/klagomålsmail/A 496-2024 FSC-klagomål mail.docx", "A 496-2024")</f>
        <v/>
      </c>
      <c r="X212">
        <f>HYPERLINK("https://klasma.github.io/Logging_2481/tillsyn/A 496-2024 tillsynsbegäran.docx", "A 496-2024")</f>
        <v/>
      </c>
      <c r="Y212">
        <f>HYPERLINK("https://klasma.github.io/Logging_2481/tillsynsmail/A 496-2024 tillsynsbegäran mail.docx", "A 496-2024")</f>
        <v/>
      </c>
      <c r="Z212">
        <f>HYPERLINK("https://klasma.github.io/Logging_2481/fåglar/A 496-2024 prioriterade fågelarter.docx", "A 496-2024")</f>
        <v/>
      </c>
    </row>
    <row r="213" ht="15" customHeight="1">
      <c r="A213" t="inlineStr">
        <is>
          <t>A 1778-2024</t>
        </is>
      </c>
      <c r="B213" s="1" t="n">
        <v>45307</v>
      </c>
      <c r="C213" s="1" t="n">
        <v>45831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9.800000000000001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HYPERLINK("https://klasma.github.io/Logging_2481/artfynd/A 1778-2024 artfynd.xlsx", "A 1778-2024")</f>
        <v/>
      </c>
      <c r="T213">
        <f>HYPERLINK("https://klasma.github.io/Logging_2481/kartor/A 1778-2024 karta.png", "A 1778-2024")</f>
        <v/>
      </c>
      <c r="V213">
        <f>HYPERLINK("https://klasma.github.io/Logging_2481/klagomål/A 1778-2024 FSC-klagomål.docx", "A 1778-2024")</f>
        <v/>
      </c>
      <c r="W213">
        <f>HYPERLINK("https://klasma.github.io/Logging_2481/klagomålsmail/A 1778-2024 FSC-klagomål mail.docx", "A 1778-2024")</f>
        <v/>
      </c>
      <c r="X213">
        <f>HYPERLINK("https://klasma.github.io/Logging_2481/tillsyn/A 1778-2024 tillsynsbegäran.docx", "A 1778-2024")</f>
        <v/>
      </c>
      <c r="Y213">
        <f>HYPERLINK("https://klasma.github.io/Logging_2481/tillsynsmail/A 1778-2024 tillsynsbegäran mail.docx", "A 1778-2024")</f>
        <v/>
      </c>
    </row>
    <row r="214" ht="15" customHeight="1">
      <c r="A214" t="inlineStr">
        <is>
          <t>A 1973-2024</t>
        </is>
      </c>
      <c r="B214" s="1" t="n">
        <v>45308</v>
      </c>
      <c r="C214" s="1" t="n">
        <v>45831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1973-2024 artfynd.xlsx", "A 1973-2024")</f>
        <v/>
      </c>
      <c r="T214">
        <f>HYPERLINK("https://klasma.github.io/Logging_2481/kartor/A 1973-2024 karta.png", "A 1973-2024")</f>
        <v/>
      </c>
      <c r="V214">
        <f>HYPERLINK("https://klasma.github.io/Logging_2481/klagomål/A 1973-2024 FSC-klagomål.docx", "A 1973-2024")</f>
        <v/>
      </c>
      <c r="W214">
        <f>HYPERLINK("https://klasma.github.io/Logging_2481/klagomålsmail/A 1973-2024 FSC-klagomål mail.docx", "A 1973-2024")</f>
        <v/>
      </c>
      <c r="X214">
        <f>HYPERLINK("https://klasma.github.io/Logging_2481/tillsyn/A 1973-2024 tillsynsbegäran.docx", "A 1973-2024")</f>
        <v/>
      </c>
      <c r="Y214">
        <f>HYPERLINK("https://klasma.github.io/Logging_2481/tillsynsmail/A 1973-2024 tillsynsbegäran mail.docx", "A 1973-2024")</f>
        <v/>
      </c>
    </row>
    <row r="215" ht="15" customHeight="1">
      <c r="A215" t="inlineStr">
        <is>
          <t>A 1936-2024</t>
        </is>
      </c>
      <c r="B215" s="1" t="n">
        <v>45308</v>
      </c>
      <c r="C215" s="1" t="n">
        <v>45831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6.4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Orange taggsvamp</t>
        </is>
      </c>
      <c r="S215">
        <f>HYPERLINK("https://klasma.github.io/Logging_2481/artfynd/A 1936-2024 artfynd.xlsx", "A 1936-2024")</f>
        <v/>
      </c>
      <c r="T215">
        <f>HYPERLINK("https://klasma.github.io/Logging_2481/kartor/A 1936-2024 karta.png", "A 1936-2024")</f>
        <v/>
      </c>
      <c r="V215">
        <f>HYPERLINK("https://klasma.github.io/Logging_2481/klagomål/A 1936-2024 FSC-klagomål.docx", "A 1936-2024")</f>
        <v/>
      </c>
      <c r="W215">
        <f>HYPERLINK("https://klasma.github.io/Logging_2481/klagomålsmail/A 1936-2024 FSC-klagomål mail.docx", "A 1936-2024")</f>
        <v/>
      </c>
      <c r="X215">
        <f>HYPERLINK("https://klasma.github.io/Logging_2481/tillsyn/A 1936-2024 tillsynsbegäran.docx", "A 1936-2024")</f>
        <v/>
      </c>
      <c r="Y215">
        <f>HYPERLINK("https://klasma.github.io/Logging_2481/tillsynsmail/A 1936-2024 tillsynsbegäran mail.docx", "A 1936-2024")</f>
        <v/>
      </c>
    </row>
    <row r="216" ht="15" customHeight="1">
      <c r="A216" t="inlineStr">
        <is>
          <t>A 17415-2024</t>
        </is>
      </c>
      <c r="B216" s="1" t="n">
        <v>45414</v>
      </c>
      <c r="C216" s="1" t="n">
        <v>45831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9.6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Reliktbock</t>
        </is>
      </c>
      <c r="S216">
        <f>HYPERLINK("https://klasma.github.io/Logging_2481/artfynd/A 17415-2024 artfynd.xlsx", "A 17415-2024")</f>
        <v/>
      </c>
      <c r="T216">
        <f>HYPERLINK("https://klasma.github.io/Logging_2481/kartor/A 17415-2024 karta.png", "A 17415-2024")</f>
        <v/>
      </c>
      <c r="V216">
        <f>HYPERLINK("https://klasma.github.io/Logging_2481/klagomål/A 17415-2024 FSC-klagomål.docx", "A 17415-2024")</f>
        <v/>
      </c>
      <c r="W216">
        <f>HYPERLINK("https://klasma.github.io/Logging_2481/klagomålsmail/A 17415-2024 FSC-klagomål mail.docx", "A 17415-2024")</f>
        <v/>
      </c>
      <c r="X216">
        <f>HYPERLINK("https://klasma.github.io/Logging_2481/tillsyn/A 17415-2024 tillsynsbegäran.docx", "A 17415-2024")</f>
        <v/>
      </c>
      <c r="Y216">
        <f>HYPERLINK("https://klasma.github.io/Logging_2481/tillsynsmail/A 17415-2024 tillsynsbegäran mail.docx", "A 17415-2024")</f>
        <v/>
      </c>
    </row>
    <row r="217" ht="15" customHeight="1">
      <c r="A217" t="inlineStr">
        <is>
          <t>A 24824-2024</t>
        </is>
      </c>
      <c r="B217" s="1" t="n">
        <v>45461</v>
      </c>
      <c r="C217" s="1" t="n">
        <v>45831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6.1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Kungsörn</t>
        </is>
      </c>
      <c r="S217">
        <f>HYPERLINK("https://klasma.github.io/Logging_2481/artfynd/A 24824-2024 artfynd.xlsx", "A 24824-2024")</f>
        <v/>
      </c>
      <c r="T217">
        <f>HYPERLINK("https://klasma.github.io/Logging_2481/kartor/A 24824-2024 karta.png", "A 24824-2024")</f>
        <v/>
      </c>
      <c r="V217">
        <f>HYPERLINK("https://klasma.github.io/Logging_2481/klagomål/A 24824-2024 FSC-klagomål.docx", "A 24824-2024")</f>
        <v/>
      </c>
      <c r="W217">
        <f>HYPERLINK("https://klasma.github.io/Logging_2481/klagomålsmail/A 24824-2024 FSC-klagomål mail.docx", "A 24824-2024")</f>
        <v/>
      </c>
      <c r="X217">
        <f>HYPERLINK("https://klasma.github.io/Logging_2481/tillsyn/A 24824-2024 tillsynsbegäran.docx", "A 24824-2024")</f>
        <v/>
      </c>
      <c r="Y217">
        <f>HYPERLINK("https://klasma.github.io/Logging_2481/tillsynsmail/A 24824-2024 tillsynsbegäran mail.docx", "A 24824-2024")</f>
        <v/>
      </c>
      <c r="Z217">
        <f>HYPERLINK("https://klasma.github.io/Logging_2481/fåglar/A 24824-2024 prioriterade fågelarter.docx", "A 24824-2024")</f>
        <v/>
      </c>
    </row>
    <row r="218" ht="15" customHeight="1">
      <c r="A218" t="inlineStr">
        <is>
          <t>A 25667-2024</t>
        </is>
      </c>
      <c r="B218" s="1" t="n">
        <v>45463</v>
      </c>
      <c r="C218" s="1" t="n">
        <v>45831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10.8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HYPERLINK("https://klasma.github.io/Logging_2481/artfynd/A 25667-2024 artfynd.xlsx", "A 25667-2024")</f>
        <v/>
      </c>
      <c r="T218">
        <f>HYPERLINK("https://klasma.github.io/Logging_2481/kartor/A 25667-2024 karta.png", "A 25667-2024")</f>
        <v/>
      </c>
      <c r="V218">
        <f>HYPERLINK("https://klasma.github.io/Logging_2481/klagomål/A 25667-2024 FSC-klagomål.docx", "A 25667-2024")</f>
        <v/>
      </c>
      <c r="W218">
        <f>HYPERLINK("https://klasma.github.io/Logging_2481/klagomålsmail/A 25667-2024 FSC-klagomål mail.docx", "A 25667-2024")</f>
        <v/>
      </c>
      <c r="X218">
        <f>HYPERLINK("https://klasma.github.io/Logging_2481/tillsyn/A 25667-2024 tillsynsbegäran.docx", "A 25667-2024")</f>
        <v/>
      </c>
      <c r="Y218">
        <f>HYPERLINK("https://klasma.github.io/Logging_2481/tillsynsmail/A 25667-2024 tillsynsbegäran mail.docx", "A 25667-2024")</f>
        <v/>
      </c>
    </row>
    <row r="219" ht="15" customHeight="1">
      <c r="A219" t="inlineStr">
        <is>
          <t>A 26539-2024</t>
        </is>
      </c>
      <c r="B219" s="1" t="n">
        <v>45469</v>
      </c>
      <c r="C219" s="1" t="n">
        <v>45831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15.2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HYPERLINK("https://klasma.github.io/Logging_2481/artfynd/A 26539-2024 artfynd.xlsx", "A 26539-2024")</f>
        <v/>
      </c>
      <c r="T219">
        <f>HYPERLINK("https://klasma.github.io/Logging_2481/kartor/A 26539-2024 karta.png", "A 26539-2024")</f>
        <v/>
      </c>
      <c r="V219">
        <f>HYPERLINK("https://klasma.github.io/Logging_2481/klagomål/A 26539-2024 FSC-klagomål.docx", "A 26539-2024")</f>
        <v/>
      </c>
      <c r="W219">
        <f>HYPERLINK("https://klasma.github.io/Logging_2481/klagomålsmail/A 26539-2024 FSC-klagomål mail.docx", "A 26539-2024")</f>
        <v/>
      </c>
      <c r="X219">
        <f>HYPERLINK("https://klasma.github.io/Logging_2481/tillsyn/A 26539-2024 tillsynsbegäran.docx", "A 26539-2024")</f>
        <v/>
      </c>
      <c r="Y219">
        <f>HYPERLINK("https://klasma.github.io/Logging_2481/tillsynsmail/A 26539-2024 tillsynsbegäran mail.docx", "A 26539-2024")</f>
        <v/>
      </c>
    </row>
    <row r="220" ht="15" customHeight="1">
      <c r="A220" t="inlineStr">
        <is>
          <t>A 26857-2024</t>
        </is>
      </c>
      <c r="B220" s="1" t="n">
        <v>45470</v>
      </c>
      <c r="C220" s="1" t="n">
        <v>45831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24.2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HYPERLINK("https://klasma.github.io/Logging_2481/artfynd/A 26857-2024 artfynd.xlsx", "A 26857-2024")</f>
        <v/>
      </c>
      <c r="T220">
        <f>HYPERLINK("https://klasma.github.io/Logging_2481/kartor/A 26857-2024 karta.png", "A 26857-2024")</f>
        <v/>
      </c>
      <c r="V220">
        <f>HYPERLINK("https://klasma.github.io/Logging_2481/klagomål/A 26857-2024 FSC-klagomål.docx", "A 26857-2024")</f>
        <v/>
      </c>
      <c r="W220">
        <f>HYPERLINK("https://klasma.github.io/Logging_2481/klagomålsmail/A 26857-2024 FSC-klagomål mail.docx", "A 26857-2024")</f>
        <v/>
      </c>
      <c r="X220">
        <f>HYPERLINK("https://klasma.github.io/Logging_2481/tillsyn/A 26857-2024 tillsynsbegäran.docx", "A 26857-2024")</f>
        <v/>
      </c>
      <c r="Y220">
        <f>HYPERLINK("https://klasma.github.io/Logging_2481/tillsynsmail/A 26857-2024 tillsynsbegäran mail.docx", "A 26857-2024")</f>
        <v/>
      </c>
    </row>
    <row r="221" ht="15" customHeight="1">
      <c r="A221" t="inlineStr">
        <is>
          <t>A 27669-2024</t>
        </is>
      </c>
      <c r="B221" s="1" t="n">
        <v>45475</v>
      </c>
      <c r="C221" s="1" t="n">
        <v>45831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Naturvårdsverket</t>
        </is>
      </c>
      <c r="G221" t="n">
        <v>4.8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Bårdlav</t>
        </is>
      </c>
      <c r="S221">
        <f>HYPERLINK("https://klasma.github.io/Logging_2481/artfynd/A 27669-2024 artfynd.xlsx", "A 27669-2024")</f>
        <v/>
      </c>
      <c r="T221">
        <f>HYPERLINK("https://klasma.github.io/Logging_2481/kartor/A 27669-2024 karta.png", "A 27669-2024")</f>
        <v/>
      </c>
      <c r="V221">
        <f>HYPERLINK("https://klasma.github.io/Logging_2481/klagomål/A 27669-2024 FSC-klagomål.docx", "A 27669-2024")</f>
        <v/>
      </c>
      <c r="W221">
        <f>HYPERLINK("https://klasma.github.io/Logging_2481/klagomålsmail/A 27669-2024 FSC-klagomål mail.docx", "A 27669-2024")</f>
        <v/>
      </c>
      <c r="X221">
        <f>HYPERLINK("https://klasma.github.io/Logging_2481/tillsyn/A 27669-2024 tillsynsbegäran.docx", "A 27669-2024")</f>
        <v/>
      </c>
      <c r="Y221">
        <f>HYPERLINK("https://klasma.github.io/Logging_2481/tillsynsmail/A 27669-2024 tillsynsbegäran mail.docx", "A 27669-2024")</f>
        <v/>
      </c>
    </row>
    <row r="222" ht="15" customHeight="1">
      <c r="A222" t="inlineStr">
        <is>
          <t>A 27930-2024</t>
        </is>
      </c>
      <c r="B222" s="1" t="n">
        <v>45475</v>
      </c>
      <c r="C222" s="1" t="n">
        <v>45831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Naturvårdsverket</t>
        </is>
      </c>
      <c r="G222" t="n">
        <v>2.5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Granticka</t>
        </is>
      </c>
      <c r="S222">
        <f>HYPERLINK("https://klasma.github.io/Logging_2481/artfynd/A 27930-2024 artfynd.xlsx", "A 27930-2024")</f>
        <v/>
      </c>
      <c r="T222">
        <f>HYPERLINK("https://klasma.github.io/Logging_2481/kartor/A 27930-2024 karta.png", "A 27930-2024")</f>
        <v/>
      </c>
      <c r="V222">
        <f>HYPERLINK("https://klasma.github.io/Logging_2481/klagomål/A 27930-2024 FSC-klagomål.docx", "A 27930-2024")</f>
        <v/>
      </c>
      <c r="W222">
        <f>HYPERLINK("https://klasma.github.io/Logging_2481/klagomålsmail/A 27930-2024 FSC-klagomål mail.docx", "A 27930-2024")</f>
        <v/>
      </c>
      <c r="X222">
        <f>HYPERLINK("https://klasma.github.io/Logging_2481/tillsyn/A 27930-2024 tillsynsbegäran.docx", "A 27930-2024")</f>
        <v/>
      </c>
      <c r="Y222">
        <f>HYPERLINK("https://klasma.github.io/Logging_2481/tillsynsmail/A 27930-2024 tillsynsbegäran mail.docx", "A 27930-2024")</f>
        <v/>
      </c>
    </row>
    <row r="223" ht="15" customHeight="1">
      <c r="A223" t="inlineStr">
        <is>
          <t>A 28012-2024</t>
        </is>
      </c>
      <c r="B223" s="1" t="n">
        <v>45476</v>
      </c>
      <c r="C223" s="1" t="n">
        <v>45831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30.9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HYPERLINK("https://klasma.github.io/Logging_2481/artfynd/A 28012-2024 artfynd.xlsx", "A 28012-2024")</f>
        <v/>
      </c>
      <c r="T223">
        <f>HYPERLINK("https://klasma.github.io/Logging_2481/kartor/A 28012-2024 karta.png", "A 28012-2024")</f>
        <v/>
      </c>
      <c r="V223">
        <f>HYPERLINK("https://klasma.github.io/Logging_2481/klagomål/A 28012-2024 FSC-klagomål.docx", "A 28012-2024")</f>
        <v/>
      </c>
      <c r="W223">
        <f>HYPERLINK("https://klasma.github.io/Logging_2481/klagomålsmail/A 28012-2024 FSC-klagomål mail.docx", "A 28012-2024")</f>
        <v/>
      </c>
      <c r="X223">
        <f>HYPERLINK("https://klasma.github.io/Logging_2481/tillsyn/A 28012-2024 tillsynsbegäran.docx", "A 28012-2024")</f>
        <v/>
      </c>
      <c r="Y223">
        <f>HYPERLINK("https://klasma.github.io/Logging_2481/tillsynsmail/A 28012-2024 tillsynsbegäran mail.docx", "A 28012-2024")</f>
        <v/>
      </c>
    </row>
    <row r="224" ht="15" customHeight="1">
      <c r="A224" t="inlineStr">
        <is>
          <t>A 28841-2024</t>
        </is>
      </c>
      <c r="B224" s="1" t="n">
        <v>45478</v>
      </c>
      <c r="C224" s="1" t="n">
        <v>45831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HYPERLINK("https://klasma.github.io/Logging_2481/artfynd/A 28841-2024 artfynd.xlsx", "A 28841-2024")</f>
        <v/>
      </c>
      <c r="T224">
        <f>HYPERLINK("https://klasma.github.io/Logging_2481/kartor/A 28841-2024 karta.png", "A 28841-2024")</f>
        <v/>
      </c>
      <c r="V224">
        <f>HYPERLINK("https://klasma.github.io/Logging_2481/klagomål/A 28841-2024 FSC-klagomål.docx", "A 28841-2024")</f>
        <v/>
      </c>
      <c r="W224">
        <f>HYPERLINK("https://klasma.github.io/Logging_2481/klagomålsmail/A 28841-2024 FSC-klagomål mail.docx", "A 28841-2024")</f>
        <v/>
      </c>
      <c r="X224">
        <f>HYPERLINK("https://klasma.github.io/Logging_2481/tillsyn/A 28841-2024 tillsynsbegäran.docx", "A 28841-2024")</f>
        <v/>
      </c>
      <c r="Y224">
        <f>HYPERLINK("https://klasma.github.io/Logging_2481/tillsynsmail/A 28841-2024 tillsynsbegäran mail.docx", "A 28841-2024")</f>
        <v/>
      </c>
    </row>
    <row r="225" ht="15" customHeight="1">
      <c r="A225" t="inlineStr">
        <is>
          <t>A 28838-2024</t>
        </is>
      </c>
      <c r="B225" s="1" t="n">
        <v>45478</v>
      </c>
      <c r="C225" s="1" t="n">
        <v>45831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HYPERLINK("https://klasma.github.io/Logging_2481/artfynd/A 28838-2024 artfynd.xlsx", "A 28838-2024")</f>
        <v/>
      </c>
      <c r="T225">
        <f>HYPERLINK("https://klasma.github.io/Logging_2481/kartor/A 28838-2024 karta.png", "A 28838-2024")</f>
        <v/>
      </c>
      <c r="V225">
        <f>HYPERLINK("https://klasma.github.io/Logging_2481/klagomål/A 28838-2024 FSC-klagomål.docx", "A 28838-2024")</f>
        <v/>
      </c>
      <c r="W225">
        <f>HYPERLINK("https://klasma.github.io/Logging_2481/klagomålsmail/A 28838-2024 FSC-klagomål mail.docx", "A 28838-2024")</f>
        <v/>
      </c>
      <c r="X225">
        <f>HYPERLINK("https://klasma.github.io/Logging_2481/tillsyn/A 28838-2024 tillsynsbegäran.docx", "A 28838-2024")</f>
        <v/>
      </c>
      <c r="Y225">
        <f>HYPERLINK("https://klasma.github.io/Logging_2481/tillsynsmail/A 28838-2024 tillsynsbegäran mail.docx", "A 28838-2024")</f>
        <v/>
      </c>
    </row>
    <row r="226" ht="15" customHeight="1">
      <c r="A226" t="inlineStr">
        <is>
          <t>A 28828-2024</t>
        </is>
      </c>
      <c r="B226" s="1" t="n">
        <v>45478</v>
      </c>
      <c r="C226" s="1" t="n">
        <v>45831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6.4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HYPERLINK("https://klasma.github.io/Logging_2481/artfynd/A 28828-2024 artfynd.xlsx", "A 28828-2024")</f>
        <v/>
      </c>
      <c r="T226">
        <f>HYPERLINK("https://klasma.github.io/Logging_2481/kartor/A 28828-2024 karta.png", "A 28828-2024")</f>
        <v/>
      </c>
      <c r="V226">
        <f>HYPERLINK("https://klasma.github.io/Logging_2481/klagomål/A 28828-2024 FSC-klagomål.docx", "A 28828-2024")</f>
        <v/>
      </c>
      <c r="W226">
        <f>HYPERLINK("https://klasma.github.io/Logging_2481/klagomålsmail/A 28828-2024 FSC-klagomål mail.docx", "A 28828-2024")</f>
        <v/>
      </c>
      <c r="X226">
        <f>HYPERLINK("https://klasma.github.io/Logging_2481/tillsyn/A 28828-2024 tillsynsbegäran.docx", "A 28828-2024")</f>
        <v/>
      </c>
      <c r="Y226">
        <f>HYPERLINK("https://klasma.github.io/Logging_2481/tillsynsmail/A 28828-2024 tillsynsbegäran mail.docx", "A 28828-2024")</f>
        <v/>
      </c>
    </row>
    <row r="227" ht="15" customHeight="1">
      <c r="A227" t="inlineStr">
        <is>
          <t>A 29471-2024</t>
        </is>
      </c>
      <c r="B227" s="1" t="n">
        <v>45484</v>
      </c>
      <c r="C227" s="1" t="n">
        <v>45831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10.3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HYPERLINK("https://klasma.github.io/Logging_2481/artfynd/A 29471-2024 artfynd.xlsx", "A 29471-2024")</f>
        <v/>
      </c>
      <c r="T227">
        <f>HYPERLINK("https://klasma.github.io/Logging_2481/kartor/A 29471-2024 karta.png", "A 29471-2024")</f>
        <v/>
      </c>
      <c r="U227">
        <f>HYPERLINK("https://klasma.github.io/Logging_2481/knärot/A 29471-2024 karta knärot.png", "A 29471-2024")</f>
        <v/>
      </c>
      <c r="V227">
        <f>HYPERLINK("https://klasma.github.io/Logging_2481/klagomål/A 29471-2024 FSC-klagomål.docx", "A 29471-2024")</f>
        <v/>
      </c>
      <c r="W227">
        <f>HYPERLINK("https://klasma.github.io/Logging_2481/klagomålsmail/A 29471-2024 FSC-klagomål mail.docx", "A 29471-2024")</f>
        <v/>
      </c>
      <c r="X227">
        <f>HYPERLINK("https://klasma.github.io/Logging_2481/tillsyn/A 29471-2024 tillsynsbegäran.docx", "A 29471-2024")</f>
        <v/>
      </c>
      <c r="Y227">
        <f>HYPERLINK("https://klasma.github.io/Logging_2481/tillsynsmail/A 29471-2024 tillsynsbegäran mail.docx", "A 29471-2024")</f>
        <v/>
      </c>
    </row>
    <row r="228" ht="15" customHeight="1">
      <c r="A228" t="inlineStr">
        <is>
          <t>A 29623-2024</t>
        </is>
      </c>
      <c r="B228" s="1" t="n">
        <v>45484</v>
      </c>
      <c r="C228" s="1" t="n">
        <v>45831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23.2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HYPERLINK("https://klasma.github.io/Logging_2481/artfynd/A 29623-2024 artfynd.xlsx", "A 29623-2024")</f>
        <v/>
      </c>
      <c r="T228">
        <f>HYPERLINK("https://klasma.github.io/Logging_2481/kartor/A 29623-2024 karta.png", "A 29623-2024")</f>
        <v/>
      </c>
      <c r="V228">
        <f>HYPERLINK("https://klasma.github.io/Logging_2481/klagomål/A 29623-2024 FSC-klagomål.docx", "A 29623-2024")</f>
        <v/>
      </c>
      <c r="W228">
        <f>HYPERLINK("https://klasma.github.io/Logging_2481/klagomålsmail/A 29623-2024 FSC-klagomål mail.docx", "A 29623-2024")</f>
        <v/>
      </c>
      <c r="X228">
        <f>HYPERLINK("https://klasma.github.io/Logging_2481/tillsyn/A 29623-2024 tillsynsbegäran.docx", "A 29623-2024")</f>
        <v/>
      </c>
      <c r="Y228">
        <f>HYPERLINK("https://klasma.github.io/Logging_2481/tillsynsmail/A 29623-2024 tillsynsbegäran mail.docx", "A 29623-2024")</f>
        <v/>
      </c>
    </row>
    <row r="229" ht="15" customHeight="1">
      <c r="A229" t="inlineStr">
        <is>
          <t>A 30025-2024</t>
        </is>
      </c>
      <c r="B229" s="1" t="n">
        <v>45488</v>
      </c>
      <c r="C229" s="1" t="n">
        <v>45831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Holmen skog AB</t>
        </is>
      </c>
      <c r="G229" t="n">
        <v>11.2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Lunglav</t>
        </is>
      </c>
      <c r="S229">
        <f>HYPERLINK("https://klasma.github.io/Logging_2481/artfynd/A 30025-2024 artfynd.xlsx", "A 30025-2024")</f>
        <v/>
      </c>
      <c r="T229">
        <f>HYPERLINK("https://klasma.github.io/Logging_2481/kartor/A 30025-2024 karta.png", "A 30025-2024")</f>
        <v/>
      </c>
      <c r="V229">
        <f>HYPERLINK("https://klasma.github.io/Logging_2481/klagomål/A 30025-2024 FSC-klagomål.docx", "A 30025-2024")</f>
        <v/>
      </c>
      <c r="W229">
        <f>HYPERLINK("https://klasma.github.io/Logging_2481/klagomålsmail/A 30025-2024 FSC-klagomål mail.docx", "A 30025-2024")</f>
        <v/>
      </c>
      <c r="X229">
        <f>HYPERLINK("https://klasma.github.io/Logging_2481/tillsyn/A 30025-2024 tillsynsbegäran.docx", "A 30025-2024")</f>
        <v/>
      </c>
      <c r="Y229">
        <f>HYPERLINK("https://klasma.github.io/Logging_2481/tillsynsmail/A 30025-2024 tillsynsbegäran mail.docx", "A 30025-2024")</f>
        <v/>
      </c>
    </row>
    <row r="230" ht="15" customHeight="1">
      <c r="A230" t="inlineStr">
        <is>
          <t>A 33633-2024</t>
        </is>
      </c>
      <c r="B230" s="1" t="n">
        <v>45520</v>
      </c>
      <c r="C230" s="1" t="n">
        <v>45831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2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Ögonpyrola</t>
        </is>
      </c>
      <c r="S230">
        <f>HYPERLINK("https://klasma.github.io/Logging_2481/artfynd/A 33633-2024 artfynd.xlsx", "A 33633-2024")</f>
        <v/>
      </c>
      <c r="T230">
        <f>HYPERLINK("https://klasma.github.io/Logging_2481/kartor/A 33633-2024 karta.png", "A 33633-2024")</f>
        <v/>
      </c>
      <c r="V230">
        <f>HYPERLINK("https://klasma.github.io/Logging_2481/klagomål/A 33633-2024 FSC-klagomål.docx", "A 33633-2024")</f>
        <v/>
      </c>
      <c r="W230">
        <f>HYPERLINK("https://klasma.github.io/Logging_2481/klagomålsmail/A 33633-2024 FSC-klagomål mail.docx", "A 33633-2024")</f>
        <v/>
      </c>
      <c r="X230">
        <f>HYPERLINK("https://klasma.github.io/Logging_2481/tillsyn/A 33633-2024 tillsynsbegäran.docx", "A 33633-2024")</f>
        <v/>
      </c>
      <c r="Y230">
        <f>HYPERLINK("https://klasma.github.io/Logging_2481/tillsynsmail/A 33633-2024 tillsynsbegäran mail.docx", "A 33633-2024")</f>
        <v/>
      </c>
    </row>
    <row r="231" ht="15" customHeight="1">
      <c r="A231" t="inlineStr">
        <is>
          <t>A 33700-2024</t>
        </is>
      </c>
      <c r="B231" s="1" t="n">
        <v>45520</v>
      </c>
      <c r="C231" s="1" t="n">
        <v>45831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Blå taggsvamp</t>
        </is>
      </c>
      <c r="S231">
        <f>HYPERLINK("https://klasma.github.io/Logging_2481/artfynd/A 33700-2024 artfynd.xlsx", "A 33700-2024")</f>
        <v/>
      </c>
      <c r="T231">
        <f>HYPERLINK("https://klasma.github.io/Logging_2481/kartor/A 33700-2024 karta.png", "A 33700-2024")</f>
        <v/>
      </c>
      <c r="V231">
        <f>HYPERLINK("https://klasma.github.io/Logging_2481/klagomål/A 33700-2024 FSC-klagomål.docx", "A 33700-2024")</f>
        <v/>
      </c>
      <c r="W231">
        <f>HYPERLINK("https://klasma.github.io/Logging_2481/klagomålsmail/A 33700-2024 FSC-klagomål mail.docx", "A 33700-2024")</f>
        <v/>
      </c>
      <c r="X231">
        <f>HYPERLINK("https://klasma.github.io/Logging_2481/tillsyn/A 33700-2024 tillsynsbegäran.docx", "A 33700-2024")</f>
        <v/>
      </c>
      <c r="Y231">
        <f>HYPERLINK("https://klasma.github.io/Logging_2481/tillsynsmail/A 33700-2024 tillsynsbegäran mail.docx", "A 33700-2024")</f>
        <v/>
      </c>
    </row>
    <row r="232" ht="15" customHeight="1">
      <c r="A232" t="inlineStr">
        <is>
          <t>A 35600-2024</t>
        </is>
      </c>
      <c r="B232" s="1" t="n">
        <v>45531</v>
      </c>
      <c r="C232" s="1" t="n">
        <v>45831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5.1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Granticka</t>
        </is>
      </c>
      <c r="S232">
        <f>HYPERLINK("https://klasma.github.io/Logging_2481/artfynd/A 35600-2024 artfynd.xlsx", "A 35600-2024")</f>
        <v/>
      </c>
      <c r="T232">
        <f>HYPERLINK("https://klasma.github.io/Logging_2481/kartor/A 35600-2024 karta.png", "A 35600-2024")</f>
        <v/>
      </c>
      <c r="V232">
        <f>HYPERLINK("https://klasma.github.io/Logging_2481/klagomål/A 35600-2024 FSC-klagomål.docx", "A 35600-2024")</f>
        <v/>
      </c>
      <c r="W232">
        <f>HYPERLINK("https://klasma.github.io/Logging_2481/klagomålsmail/A 35600-2024 FSC-klagomål mail.docx", "A 35600-2024")</f>
        <v/>
      </c>
      <c r="X232">
        <f>HYPERLINK("https://klasma.github.io/Logging_2481/tillsyn/A 35600-2024 tillsynsbegäran.docx", "A 35600-2024")</f>
        <v/>
      </c>
      <c r="Y232">
        <f>HYPERLINK("https://klasma.github.io/Logging_2481/tillsynsmail/A 35600-2024 tillsynsbegäran mail.docx", "A 35600-2024")</f>
        <v/>
      </c>
    </row>
    <row r="233" ht="15" customHeight="1">
      <c r="A233" t="inlineStr">
        <is>
          <t>A 35931-2024</t>
        </is>
      </c>
      <c r="B233" s="1" t="n">
        <v>45533</v>
      </c>
      <c r="C233" s="1" t="n">
        <v>45831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57.3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HYPERLINK("https://klasma.github.io/Logging_2481/artfynd/A 35931-2024 artfynd.xlsx", "A 35931-2024")</f>
        <v/>
      </c>
      <c r="T233">
        <f>HYPERLINK("https://klasma.github.io/Logging_2481/kartor/A 35931-2024 karta.png", "A 35931-2024")</f>
        <v/>
      </c>
      <c r="V233">
        <f>HYPERLINK("https://klasma.github.io/Logging_2481/klagomål/A 35931-2024 FSC-klagomål.docx", "A 35931-2024")</f>
        <v/>
      </c>
      <c r="W233">
        <f>HYPERLINK("https://klasma.github.io/Logging_2481/klagomålsmail/A 35931-2024 FSC-klagomål mail.docx", "A 35931-2024")</f>
        <v/>
      </c>
      <c r="X233">
        <f>HYPERLINK("https://klasma.github.io/Logging_2481/tillsyn/A 35931-2024 tillsynsbegäran.docx", "A 35931-2024")</f>
        <v/>
      </c>
      <c r="Y233">
        <f>HYPERLINK("https://klasma.github.io/Logging_2481/tillsynsmail/A 35931-2024 tillsynsbegäran mail.docx", "A 35931-2024")</f>
        <v/>
      </c>
    </row>
    <row r="234" ht="15" customHeight="1">
      <c r="A234" t="inlineStr">
        <is>
          <t>A 36307-2024</t>
        </is>
      </c>
      <c r="B234" s="1" t="n">
        <v>45534</v>
      </c>
      <c r="C234" s="1" t="n">
        <v>45831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6.9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Blå taggsvamp</t>
        </is>
      </c>
      <c r="S234">
        <f>HYPERLINK("https://klasma.github.io/Logging_2481/artfynd/A 36307-2024 artfynd.xlsx", "A 36307-2024")</f>
        <v/>
      </c>
      <c r="T234">
        <f>HYPERLINK("https://klasma.github.io/Logging_2481/kartor/A 36307-2024 karta.png", "A 36307-2024")</f>
        <v/>
      </c>
      <c r="V234">
        <f>HYPERLINK("https://klasma.github.io/Logging_2481/klagomål/A 36307-2024 FSC-klagomål.docx", "A 36307-2024")</f>
        <v/>
      </c>
      <c r="W234">
        <f>HYPERLINK("https://klasma.github.io/Logging_2481/klagomålsmail/A 36307-2024 FSC-klagomål mail.docx", "A 36307-2024")</f>
        <v/>
      </c>
      <c r="X234">
        <f>HYPERLINK("https://klasma.github.io/Logging_2481/tillsyn/A 36307-2024 tillsynsbegäran.docx", "A 36307-2024")</f>
        <v/>
      </c>
      <c r="Y234">
        <f>HYPERLINK("https://klasma.github.io/Logging_2481/tillsynsmail/A 36307-2024 tillsynsbegäran mail.docx", "A 36307-2024")</f>
        <v/>
      </c>
    </row>
    <row r="235" ht="15" customHeight="1">
      <c r="A235" t="inlineStr">
        <is>
          <t>A 37633-2024</t>
        </is>
      </c>
      <c r="B235" s="1" t="n">
        <v>45541</v>
      </c>
      <c r="C235" s="1" t="n">
        <v>45831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8.300000000000001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Kolflarnlav</t>
        </is>
      </c>
      <c r="S235">
        <f>HYPERLINK("https://klasma.github.io/Logging_2481/artfynd/A 37633-2024 artfynd.xlsx", "A 37633-2024")</f>
        <v/>
      </c>
      <c r="T235">
        <f>HYPERLINK("https://klasma.github.io/Logging_2481/kartor/A 37633-2024 karta.png", "A 37633-2024")</f>
        <v/>
      </c>
      <c r="V235">
        <f>HYPERLINK("https://klasma.github.io/Logging_2481/klagomål/A 37633-2024 FSC-klagomål.docx", "A 37633-2024")</f>
        <v/>
      </c>
      <c r="W235">
        <f>HYPERLINK("https://klasma.github.io/Logging_2481/klagomålsmail/A 37633-2024 FSC-klagomål mail.docx", "A 37633-2024")</f>
        <v/>
      </c>
      <c r="X235">
        <f>HYPERLINK("https://klasma.github.io/Logging_2481/tillsyn/A 37633-2024 tillsynsbegäran.docx", "A 37633-2024")</f>
        <v/>
      </c>
      <c r="Y235">
        <f>HYPERLINK("https://klasma.github.io/Logging_2481/tillsynsmail/A 37633-2024 tillsynsbegäran mail.docx", "A 37633-2024")</f>
        <v/>
      </c>
    </row>
    <row r="236" ht="15" customHeight="1">
      <c r="A236" t="inlineStr">
        <is>
          <t>A 37669-2024</t>
        </is>
      </c>
      <c r="B236" s="1" t="n">
        <v>45541</v>
      </c>
      <c r="C236" s="1" t="n">
        <v>45831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5.5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Dropptaggsvamp</t>
        </is>
      </c>
      <c r="S236">
        <f>HYPERLINK("https://klasma.github.io/Logging_2481/artfynd/A 37669-2024 artfynd.xlsx", "A 37669-2024")</f>
        <v/>
      </c>
      <c r="T236">
        <f>HYPERLINK("https://klasma.github.io/Logging_2481/kartor/A 37669-2024 karta.png", "A 37669-2024")</f>
        <v/>
      </c>
      <c r="V236">
        <f>HYPERLINK("https://klasma.github.io/Logging_2481/klagomål/A 37669-2024 FSC-klagomål.docx", "A 37669-2024")</f>
        <v/>
      </c>
      <c r="W236">
        <f>HYPERLINK("https://klasma.github.io/Logging_2481/klagomålsmail/A 37669-2024 FSC-klagomål mail.docx", "A 37669-2024")</f>
        <v/>
      </c>
      <c r="X236">
        <f>HYPERLINK("https://klasma.github.io/Logging_2481/tillsyn/A 37669-2024 tillsynsbegäran.docx", "A 37669-2024")</f>
        <v/>
      </c>
      <c r="Y236">
        <f>HYPERLINK("https://klasma.github.io/Logging_2481/tillsynsmail/A 37669-2024 tillsynsbegäran mail.docx", "A 37669-2024")</f>
        <v/>
      </c>
    </row>
    <row r="237" ht="15" customHeight="1">
      <c r="A237" t="inlineStr">
        <is>
          <t>A 38490-2024</t>
        </is>
      </c>
      <c r="B237" s="1" t="n">
        <v>45546</v>
      </c>
      <c r="C237" s="1" t="n">
        <v>45831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14.2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38490-2024 artfynd.xlsx", "A 38490-2024")</f>
        <v/>
      </c>
      <c r="T237">
        <f>HYPERLINK("https://klasma.github.io/Logging_2481/kartor/A 38490-2024 karta.png", "A 38490-2024")</f>
        <v/>
      </c>
      <c r="V237">
        <f>HYPERLINK("https://klasma.github.io/Logging_2481/klagomål/A 38490-2024 FSC-klagomål.docx", "A 38490-2024")</f>
        <v/>
      </c>
      <c r="W237">
        <f>HYPERLINK("https://klasma.github.io/Logging_2481/klagomålsmail/A 38490-2024 FSC-klagomål mail.docx", "A 38490-2024")</f>
        <v/>
      </c>
      <c r="X237">
        <f>HYPERLINK("https://klasma.github.io/Logging_2481/tillsyn/A 38490-2024 tillsynsbegäran.docx", "A 38490-2024")</f>
        <v/>
      </c>
      <c r="Y237">
        <f>HYPERLINK("https://klasma.github.io/Logging_2481/tillsynsmail/A 38490-2024 tillsynsbegäran mail.docx", "A 38490-2024")</f>
        <v/>
      </c>
    </row>
    <row r="238" ht="15" customHeight="1">
      <c r="A238" t="inlineStr">
        <is>
          <t>A 39572-2024</t>
        </is>
      </c>
      <c r="B238" s="1" t="n">
        <v>45552</v>
      </c>
      <c r="C238" s="1" t="n">
        <v>45831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39.2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Grynig filtlav</t>
        </is>
      </c>
      <c r="S238">
        <f>HYPERLINK("https://klasma.github.io/Logging_2481/artfynd/A 39572-2024 artfynd.xlsx", "A 39572-2024")</f>
        <v/>
      </c>
      <c r="T238">
        <f>HYPERLINK("https://klasma.github.io/Logging_2481/kartor/A 39572-2024 karta.png", "A 39572-2024")</f>
        <v/>
      </c>
      <c r="V238">
        <f>HYPERLINK("https://klasma.github.io/Logging_2481/klagomål/A 39572-2024 FSC-klagomål.docx", "A 39572-2024")</f>
        <v/>
      </c>
      <c r="W238">
        <f>HYPERLINK("https://klasma.github.io/Logging_2481/klagomålsmail/A 39572-2024 FSC-klagomål mail.docx", "A 39572-2024")</f>
        <v/>
      </c>
      <c r="X238">
        <f>HYPERLINK("https://klasma.github.io/Logging_2481/tillsyn/A 39572-2024 tillsynsbegäran.docx", "A 39572-2024")</f>
        <v/>
      </c>
      <c r="Y238">
        <f>HYPERLINK("https://klasma.github.io/Logging_2481/tillsynsmail/A 39572-2024 tillsynsbegäran mail.docx", "A 39572-2024")</f>
        <v/>
      </c>
    </row>
    <row r="239" ht="15" customHeight="1">
      <c r="A239" t="inlineStr">
        <is>
          <t>A 40512-2024</t>
        </is>
      </c>
      <c r="B239" s="1" t="n">
        <v>45555</v>
      </c>
      <c r="C239" s="1" t="n">
        <v>45831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4.6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HYPERLINK("https://klasma.github.io/Logging_2481/artfynd/A 40512-2024 artfynd.xlsx", "A 40512-2024")</f>
        <v/>
      </c>
      <c r="T239">
        <f>HYPERLINK("https://klasma.github.io/Logging_2481/kartor/A 40512-2024 karta.png", "A 40512-2024")</f>
        <v/>
      </c>
      <c r="V239">
        <f>HYPERLINK("https://klasma.github.io/Logging_2481/klagomål/A 40512-2024 FSC-klagomål.docx", "A 40512-2024")</f>
        <v/>
      </c>
      <c r="W239">
        <f>HYPERLINK("https://klasma.github.io/Logging_2481/klagomålsmail/A 40512-2024 FSC-klagomål mail.docx", "A 40512-2024")</f>
        <v/>
      </c>
      <c r="X239">
        <f>HYPERLINK("https://klasma.github.io/Logging_2481/tillsyn/A 40512-2024 tillsynsbegäran.docx", "A 40512-2024")</f>
        <v/>
      </c>
      <c r="Y239">
        <f>HYPERLINK("https://klasma.github.io/Logging_2481/tillsynsmail/A 40512-2024 tillsynsbegäran mail.docx", "A 40512-2024")</f>
        <v/>
      </c>
    </row>
    <row r="240" ht="15" customHeight="1">
      <c r="A240" t="inlineStr">
        <is>
          <t>A 40543-2024</t>
        </is>
      </c>
      <c r="B240" s="1" t="n">
        <v>45555</v>
      </c>
      <c r="C240" s="1" t="n">
        <v>45831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12.8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Svartvit taggsvamp</t>
        </is>
      </c>
      <c r="S240">
        <f>HYPERLINK("https://klasma.github.io/Logging_2481/artfynd/A 40543-2024 artfynd.xlsx", "A 40543-2024")</f>
        <v/>
      </c>
      <c r="T240">
        <f>HYPERLINK("https://klasma.github.io/Logging_2481/kartor/A 40543-2024 karta.png", "A 40543-2024")</f>
        <v/>
      </c>
      <c r="V240">
        <f>HYPERLINK("https://klasma.github.io/Logging_2481/klagomål/A 40543-2024 FSC-klagomål.docx", "A 40543-2024")</f>
        <v/>
      </c>
      <c r="W240">
        <f>HYPERLINK("https://klasma.github.io/Logging_2481/klagomålsmail/A 40543-2024 FSC-klagomål mail.docx", "A 40543-2024")</f>
        <v/>
      </c>
      <c r="X240">
        <f>HYPERLINK("https://klasma.github.io/Logging_2481/tillsyn/A 40543-2024 tillsynsbegäran.docx", "A 40543-2024")</f>
        <v/>
      </c>
      <c r="Y240">
        <f>HYPERLINK("https://klasma.github.io/Logging_2481/tillsynsmail/A 40543-2024 tillsynsbegäran mail.docx", "A 40543-2024")</f>
        <v/>
      </c>
    </row>
    <row r="241" ht="15" customHeight="1">
      <c r="A241" t="inlineStr">
        <is>
          <t>A 41637-2024</t>
        </is>
      </c>
      <c r="B241" s="1" t="n">
        <v>45560</v>
      </c>
      <c r="C241" s="1" t="n">
        <v>45831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5.5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HYPERLINK("https://klasma.github.io/Logging_2481/artfynd/A 41637-2024 artfynd.xlsx", "A 41637-2024")</f>
        <v/>
      </c>
      <c r="T241">
        <f>HYPERLINK("https://klasma.github.io/Logging_2481/kartor/A 41637-2024 karta.png", "A 41637-2024")</f>
        <v/>
      </c>
      <c r="V241">
        <f>HYPERLINK("https://klasma.github.io/Logging_2481/klagomål/A 41637-2024 FSC-klagomål.docx", "A 41637-2024")</f>
        <v/>
      </c>
      <c r="W241">
        <f>HYPERLINK("https://klasma.github.io/Logging_2481/klagomålsmail/A 41637-2024 FSC-klagomål mail.docx", "A 41637-2024")</f>
        <v/>
      </c>
      <c r="X241">
        <f>HYPERLINK("https://klasma.github.io/Logging_2481/tillsyn/A 41637-2024 tillsynsbegäran.docx", "A 41637-2024")</f>
        <v/>
      </c>
      <c r="Y241">
        <f>HYPERLINK("https://klasma.github.io/Logging_2481/tillsynsmail/A 41637-2024 tillsynsbegäran mail.docx", "A 41637-2024")</f>
        <v/>
      </c>
    </row>
    <row r="242" ht="15" customHeight="1">
      <c r="A242" t="inlineStr">
        <is>
          <t>A 41776-2024</t>
        </is>
      </c>
      <c r="B242" s="1" t="n">
        <v>45561</v>
      </c>
      <c r="C242" s="1" t="n">
        <v>45831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Kolflarnlav</t>
        </is>
      </c>
      <c r="S242">
        <f>HYPERLINK("https://klasma.github.io/Logging_2481/artfynd/A 41776-2024 artfynd.xlsx", "A 41776-2024")</f>
        <v/>
      </c>
      <c r="T242">
        <f>HYPERLINK("https://klasma.github.io/Logging_2481/kartor/A 41776-2024 karta.png", "A 41776-2024")</f>
        <v/>
      </c>
      <c r="V242">
        <f>HYPERLINK("https://klasma.github.io/Logging_2481/klagomål/A 41776-2024 FSC-klagomål.docx", "A 41776-2024")</f>
        <v/>
      </c>
      <c r="W242">
        <f>HYPERLINK("https://klasma.github.io/Logging_2481/klagomålsmail/A 41776-2024 FSC-klagomål mail.docx", "A 41776-2024")</f>
        <v/>
      </c>
      <c r="X242">
        <f>HYPERLINK("https://klasma.github.io/Logging_2481/tillsyn/A 41776-2024 tillsynsbegäran.docx", "A 41776-2024")</f>
        <v/>
      </c>
      <c r="Y242">
        <f>HYPERLINK("https://klasma.github.io/Logging_2481/tillsynsmail/A 41776-2024 tillsynsbegäran mail.docx", "A 41776-2024")</f>
        <v/>
      </c>
    </row>
    <row r="243" ht="15" customHeight="1">
      <c r="A243" t="inlineStr">
        <is>
          <t>A 42287-2024</t>
        </is>
      </c>
      <c r="B243" s="1" t="n">
        <v>45562</v>
      </c>
      <c r="C243" s="1" t="n">
        <v>45831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Orange taggsvamp</t>
        </is>
      </c>
      <c r="S243">
        <f>HYPERLINK("https://klasma.github.io/Logging_2481/artfynd/A 42287-2024 artfynd.xlsx", "A 42287-2024")</f>
        <v/>
      </c>
      <c r="T243">
        <f>HYPERLINK("https://klasma.github.io/Logging_2481/kartor/A 42287-2024 karta.png", "A 42287-2024")</f>
        <v/>
      </c>
      <c r="V243">
        <f>HYPERLINK("https://klasma.github.io/Logging_2481/klagomål/A 42287-2024 FSC-klagomål.docx", "A 42287-2024")</f>
        <v/>
      </c>
      <c r="W243">
        <f>HYPERLINK("https://klasma.github.io/Logging_2481/klagomålsmail/A 42287-2024 FSC-klagomål mail.docx", "A 42287-2024")</f>
        <v/>
      </c>
      <c r="X243">
        <f>HYPERLINK("https://klasma.github.io/Logging_2481/tillsyn/A 42287-2024 tillsynsbegäran.docx", "A 42287-2024")</f>
        <v/>
      </c>
      <c r="Y243">
        <f>HYPERLINK("https://klasma.github.io/Logging_2481/tillsynsmail/A 42287-2024 tillsynsbegäran mail.docx", "A 42287-2024")</f>
        <v/>
      </c>
    </row>
    <row r="244" ht="15" customHeight="1">
      <c r="A244" t="inlineStr">
        <is>
          <t>A 42288-2024</t>
        </is>
      </c>
      <c r="B244" s="1" t="n">
        <v>45562</v>
      </c>
      <c r="C244" s="1" t="n">
        <v>45831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Skrovellav</t>
        </is>
      </c>
      <c r="S244">
        <f>HYPERLINK("https://klasma.github.io/Logging_2481/artfynd/A 42288-2024 artfynd.xlsx", "A 42288-2024")</f>
        <v/>
      </c>
      <c r="T244">
        <f>HYPERLINK("https://klasma.github.io/Logging_2481/kartor/A 42288-2024 karta.png", "A 42288-2024")</f>
        <v/>
      </c>
      <c r="V244">
        <f>HYPERLINK("https://klasma.github.io/Logging_2481/klagomål/A 42288-2024 FSC-klagomål.docx", "A 42288-2024")</f>
        <v/>
      </c>
      <c r="W244">
        <f>HYPERLINK("https://klasma.github.io/Logging_2481/klagomålsmail/A 42288-2024 FSC-klagomål mail.docx", "A 42288-2024")</f>
        <v/>
      </c>
      <c r="X244">
        <f>HYPERLINK("https://klasma.github.io/Logging_2481/tillsyn/A 42288-2024 tillsynsbegäran.docx", "A 42288-2024")</f>
        <v/>
      </c>
      <c r="Y244">
        <f>HYPERLINK("https://klasma.github.io/Logging_2481/tillsynsmail/A 42288-2024 tillsynsbegäran mail.docx", "A 42288-2024")</f>
        <v/>
      </c>
    </row>
    <row r="245" ht="15" customHeight="1">
      <c r="A245" t="inlineStr">
        <is>
          <t>A 42302-2024</t>
        </is>
      </c>
      <c r="B245" s="1" t="n">
        <v>45562</v>
      </c>
      <c r="C245" s="1" t="n">
        <v>45831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Blå taggsvamp</t>
        </is>
      </c>
      <c r="S245">
        <f>HYPERLINK("https://klasma.github.io/Logging_2481/artfynd/A 42302-2024 artfynd.xlsx", "A 42302-2024")</f>
        <v/>
      </c>
      <c r="T245">
        <f>HYPERLINK("https://klasma.github.io/Logging_2481/kartor/A 42302-2024 karta.png", "A 42302-2024")</f>
        <v/>
      </c>
      <c r="V245">
        <f>HYPERLINK("https://klasma.github.io/Logging_2481/klagomål/A 42302-2024 FSC-klagomål.docx", "A 42302-2024")</f>
        <v/>
      </c>
      <c r="W245">
        <f>HYPERLINK("https://klasma.github.io/Logging_2481/klagomålsmail/A 42302-2024 FSC-klagomål mail.docx", "A 42302-2024")</f>
        <v/>
      </c>
      <c r="X245">
        <f>HYPERLINK("https://klasma.github.io/Logging_2481/tillsyn/A 42302-2024 tillsynsbegäran.docx", "A 42302-2024")</f>
        <v/>
      </c>
      <c r="Y245">
        <f>HYPERLINK("https://klasma.github.io/Logging_2481/tillsynsmail/A 42302-2024 tillsynsbegäran mail.docx", "A 42302-2024")</f>
        <v/>
      </c>
    </row>
    <row r="246" ht="15" customHeight="1">
      <c r="A246" t="inlineStr">
        <is>
          <t>A 43292-2024</t>
        </is>
      </c>
      <c r="B246" s="1" t="n">
        <v>45568</v>
      </c>
      <c r="C246" s="1" t="n">
        <v>45831</v>
      </c>
      <c r="D246" t="inlineStr">
        <is>
          <t>VÄSTERBOTTENS LÄN</t>
        </is>
      </c>
      <c r="E246" t="inlineStr">
        <is>
          <t>LYCKSELE</t>
        </is>
      </c>
      <c r="G246" t="n">
        <v>5.1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Skogsödla</t>
        </is>
      </c>
      <c r="S246">
        <f>HYPERLINK("https://klasma.github.io/Logging_2481/artfynd/A 43292-2024 artfynd.xlsx", "A 43292-2024")</f>
        <v/>
      </c>
      <c r="T246">
        <f>HYPERLINK("https://klasma.github.io/Logging_2481/kartor/A 43292-2024 karta.png", "A 43292-2024")</f>
        <v/>
      </c>
      <c r="V246">
        <f>HYPERLINK("https://klasma.github.io/Logging_2481/klagomål/A 43292-2024 FSC-klagomål.docx", "A 43292-2024")</f>
        <v/>
      </c>
      <c r="W246">
        <f>HYPERLINK("https://klasma.github.io/Logging_2481/klagomålsmail/A 43292-2024 FSC-klagomål mail.docx", "A 43292-2024")</f>
        <v/>
      </c>
      <c r="X246">
        <f>HYPERLINK("https://klasma.github.io/Logging_2481/tillsyn/A 43292-2024 tillsynsbegäran.docx", "A 43292-2024")</f>
        <v/>
      </c>
      <c r="Y246">
        <f>HYPERLINK("https://klasma.github.io/Logging_2481/tillsynsmail/A 43292-2024 tillsynsbegäran mail.docx", "A 43292-2024")</f>
        <v/>
      </c>
    </row>
    <row r="247" ht="15" customHeight="1">
      <c r="A247" t="inlineStr">
        <is>
          <t>A 45246-2024</t>
        </is>
      </c>
      <c r="B247" s="1" t="n">
        <v>45576</v>
      </c>
      <c r="C247" s="1" t="n">
        <v>45831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5.3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Orange taggsvamp</t>
        </is>
      </c>
      <c r="S247">
        <f>HYPERLINK("https://klasma.github.io/Logging_2481/artfynd/A 45246-2024 artfynd.xlsx", "A 45246-2024")</f>
        <v/>
      </c>
      <c r="T247">
        <f>HYPERLINK("https://klasma.github.io/Logging_2481/kartor/A 45246-2024 karta.png", "A 45246-2024")</f>
        <v/>
      </c>
      <c r="V247">
        <f>HYPERLINK("https://klasma.github.io/Logging_2481/klagomål/A 45246-2024 FSC-klagomål.docx", "A 45246-2024")</f>
        <v/>
      </c>
      <c r="W247">
        <f>HYPERLINK("https://klasma.github.io/Logging_2481/klagomålsmail/A 45246-2024 FSC-klagomål mail.docx", "A 45246-2024")</f>
        <v/>
      </c>
      <c r="X247">
        <f>HYPERLINK("https://klasma.github.io/Logging_2481/tillsyn/A 45246-2024 tillsynsbegäran.docx", "A 45246-2024")</f>
        <v/>
      </c>
      <c r="Y247">
        <f>HYPERLINK("https://klasma.github.io/Logging_2481/tillsynsmail/A 45246-2024 tillsynsbegäran mail.docx", "A 45246-2024")</f>
        <v/>
      </c>
    </row>
    <row r="248" ht="15" customHeight="1">
      <c r="A248" t="inlineStr">
        <is>
          <t>A 45774-2024</t>
        </is>
      </c>
      <c r="B248" s="1" t="n">
        <v>45579</v>
      </c>
      <c r="C248" s="1" t="n">
        <v>45831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SCA</t>
        </is>
      </c>
      <c r="G248" t="n">
        <v>4.3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Barkticka</t>
        </is>
      </c>
      <c r="S248">
        <f>HYPERLINK("https://klasma.github.io/Logging_2481/artfynd/A 45774-2024 artfynd.xlsx", "A 45774-2024")</f>
        <v/>
      </c>
      <c r="T248">
        <f>HYPERLINK("https://klasma.github.io/Logging_2481/kartor/A 45774-2024 karta.png", "A 45774-2024")</f>
        <v/>
      </c>
      <c r="V248">
        <f>HYPERLINK("https://klasma.github.io/Logging_2481/klagomål/A 45774-2024 FSC-klagomål.docx", "A 45774-2024")</f>
        <v/>
      </c>
      <c r="W248">
        <f>HYPERLINK("https://klasma.github.io/Logging_2481/klagomålsmail/A 45774-2024 FSC-klagomål mail.docx", "A 45774-2024")</f>
        <v/>
      </c>
      <c r="X248">
        <f>HYPERLINK("https://klasma.github.io/Logging_2481/tillsyn/A 45774-2024 tillsynsbegäran.docx", "A 45774-2024")</f>
        <v/>
      </c>
      <c r="Y248">
        <f>HYPERLINK("https://klasma.github.io/Logging_2481/tillsynsmail/A 45774-2024 tillsynsbegäran mail.docx", "A 45774-2024")</f>
        <v/>
      </c>
    </row>
    <row r="249" ht="15" customHeight="1">
      <c r="A249" t="inlineStr">
        <is>
          <t>A 45865-2024</t>
        </is>
      </c>
      <c r="B249" s="1" t="n">
        <v>45580</v>
      </c>
      <c r="C249" s="1" t="n">
        <v>45831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18.5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HYPERLINK("https://klasma.github.io/Logging_2481/artfynd/A 45865-2024 artfynd.xlsx", "A 45865-2024")</f>
        <v/>
      </c>
      <c r="T249">
        <f>HYPERLINK("https://klasma.github.io/Logging_2481/kartor/A 45865-2024 karta.png", "A 45865-2024")</f>
        <v/>
      </c>
      <c r="V249">
        <f>HYPERLINK("https://klasma.github.io/Logging_2481/klagomål/A 45865-2024 FSC-klagomål.docx", "A 45865-2024")</f>
        <v/>
      </c>
      <c r="W249">
        <f>HYPERLINK("https://klasma.github.io/Logging_2481/klagomålsmail/A 45865-2024 FSC-klagomål mail.docx", "A 45865-2024")</f>
        <v/>
      </c>
      <c r="X249">
        <f>HYPERLINK("https://klasma.github.io/Logging_2481/tillsyn/A 45865-2024 tillsynsbegäran.docx", "A 45865-2024")</f>
        <v/>
      </c>
      <c r="Y249">
        <f>HYPERLINK("https://klasma.github.io/Logging_2481/tillsynsmail/A 45865-2024 tillsynsbegäran mail.docx", "A 45865-2024")</f>
        <v/>
      </c>
    </row>
    <row r="250" ht="15" customHeight="1">
      <c r="A250" t="inlineStr">
        <is>
          <t>A 46004-2024</t>
        </is>
      </c>
      <c r="B250" s="1" t="n">
        <v>45580</v>
      </c>
      <c r="C250" s="1" t="n">
        <v>45831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7.2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HYPERLINK("https://klasma.github.io/Logging_2481/artfynd/A 46004-2024 artfynd.xlsx", "A 46004-2024")</f>
        <v/>
      </c>
      <c r="T250">
        <f>HYPERLINK("https://klasma.github.io/Logging_2481/kartor/A 46004-2024 karta.png", "A 46004-2024")</f>
        <v/>
      </c>
      <c r="V250">
        <f>HYPERLINK("https://klasma.github.io/Logging_2481/klagomål/A 46004-2024 FSC-klagomål.docx", "A 46004-2024")</f>
        <v/>
      </c>
      <c r="W250">
        <f>HYPERLINK("https://klasma.github.io/Logging_2481/klagomålsmail/A 46004-2024 FSC-klagomål mail.docx", "A 46004-2024")</f>
        <v/>
      </c>
      <c r="X250">
        <f>HYPERLINK("https://klasma.github.io/Logging_2481/tillsyn/A 46004-2024 tillsynsbegäran.docx", "A 46004-2024")</f>
        <v/>
      </c>
      <c r="Y250">
        <f>HYPERLINK("https://klasma.github.io/Logging_2481/tillsynsmail/A 46004-2024 tillsynsbegäran mail.docx", "A 46004-2024")</f>
        <v/>
      </c>
    </row>
    <row r="251" ht="15" customHeight="1">
      <c r="A251" t="inlineStr">
        <is>
          <t>A 45934-2024</t>
        </is>
      </c>
      <c r="B251" s="1" t="n">
        <v>45580</v>
      </c>
      <c r="C251" s="1" t="n">
        <v>45831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Orange taggsvamp</t>
        </is>
      </c>
      <c r="S251">
        <f>HYPERLINK("https://klasma.github.io/Logging_2481/artfynd/A 45934-2024 artfynd.xlsx", "A 45934-2024")</f>
        <v/>
      </c>
      <c r="T251">
        <f>HYPERLINK("https://klasma.github.io/Logging_2481/kartor/A 45934-2024 karta.png", "A 45934-2024")</f>
        <v/>
      </c>
      <c r="V251">
        <f>HYPERLINK("https://klasma.github.io/Logging_2481/klagomål/A 45934-2024 FSC-klagomål.docx", "A 45934-2024")</f>
        <v/>
      </c>
      <c r="W251">
        <f>HYPERLINK("https://klasma.github.io/Logging_2481/klagomålsmail/A 45934-2024 FSC-klagomål mail.docx", "A 45934-2024")</f>
        <v/>
      </c>
      <c r="X251">
        <f>HYPERLINK("https://klasma.github.io/Logging_2481/tillsyn/A 45934-2024 tillsynsbegäran.docx", "A 45934-2024")</f>
        <v/>
      </c>
      <c r="Y251">
        <f>HYPERLINK("https://klasma.github.io/Logging_2481/tillsynsmail/A 45934-2024 tillsynsbegäran mail.docx", "A 45934-2024")</f>
        <v/>
      </c>
    </row>
    <row r="252" ht="15" customHeight="1">
      <c r="A252" t="inlineStr">
        <is>
          <t>A 47135-2024</t>
        </is>
      </c>
      <c r="B252" s="1" t="n">
        <v>45586</v>
      </c>
      <c r="C252" s="1" t="n">
        <v>45831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6.2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Dropptaggsvamp</t>
        </is>
      </c>
      <c r="S252">
        <f>HYPERLINK("https://klasma.github.io/Logging_2481/artfynd/A 47135-2024 artfynd.xlsx", "A 47135-2024")</f>
        <v/>
      </c>
      <c r="T252">
        <f>HYPERLINK("https://klasma.github.io/Logging_2481/kartor/A 47135-2024 karta.png", "A 47135-2024")</f>
        <v/>
      </c>
      <c r="V252">
        <f>HYPERLINK("https://klasma.github.io/Logging_2481/klagomål/A 47135-2024 FSC-klagomål.docx", "A 47135-2024")</f>
        <v/>
      </c>
      <c r="W252">
        <f>HYPERLINK("https://klasma.github.io/Logging_2481/klagomålsmail/A 47135-2024 FSC-klagomål mail.docx", "A 47135-2024")</f>
        <v/>
      </c>
      <c r="X252">
        <f>HYPERLINK("https://klasma.github.io/Logging_2481/tillsyn/A 47135-2024 tillsynsbegäran.docx", "A 47135-2024")</f>
        <v/>
      </c>
      <c r="Y252">
        <f>HYPERLINK("https://klasma.github.io/Logging_2481/tillsynsmail/A 47135-2024 tillsynsbegäran mail.docx", "A 47135-2024")</f>
        <v/>
      </c>
    </row>
    <row r="253" ht="15" customHeight="1">
      <c r="A253" t="inlineStr">
        <is>
          <t>A 47289-2024</t>
        </is>
      </c>
      <c r="B253" s="1" t="n">
        <v>45587</v>
      </c>
      <c r="C253" s="1" t="n">
        <v>45831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5.6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Dropptaggsvamp</t>
        </is>
      </c>
      <c r="S253">
        <f>HYPERLINK("https://klasma.github.io/Logging_2481/artfynd/A 47289-2024 artfynd.xlsx", "A 47289-2024")</f>
        <v/>
      </c>
      <c r="T253">
        <f>HYPERLINK("https://klasma.github.io/Logging_2481/kartor/A 47289-2024 karta.png", "A 47289-2024")</f>
        <v/>
      </c>
      <c r="V253">
        <f>HYPERLINK("https://klasma.github.io/Logging_2481/klagomål/A 47289-2024 FSC-klagomål.docx", "A 47289-2024")</f>
        <v/>
      </c>
      <c r="W253">
        <f>HYPERLINK("https://klasma.github.io/Logging_2481/klagomålsmail/A 47289-2024 FSC-klagomål mail.docx", "A 47289-2024")</f>
        <v/>
      </c>
      <c r="X253">
        <f>HYPERLINK("https://klasma.github.io/Logging_2481/tillsyn/A 47289-2024 tillsynsbegäran.docx", "A 47289-2024")</f>
        <v/>
      </c>
      <c r="Y253">
        <f>HYPERLINK("https://klasma.github.io/Logging_2481/tillsynsmail/A 47289-2024 tillsynsbegäran mail.docx", "A 47289-2024")</f>
        <v/>
      </c>
    </row>
    <row r="254" ht="15" customHeight="1">
      <c r="A254" t="inlineStr">
        <is>
          <t>A 48443-2024</t>
        </is>
      </c>
      <c r="B254" s="1" t="n">
        <v>45590</v>
      </c>
      <c r="C254" s="1" t="n">
        <v>45831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3.8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Mörk kolflarnlav</t>
        </is>
      </c>
      <c r="S254">
        <f>HYPERLINK("https://klasma.github.io/Logging_2481/artfynd/A 48443-2024 artfynd.xlsx", "A 48443-2024")</f>
        <v/>
      </c>
      <c r="T254">
        <f>HYPERLINK("https://klasma.github.io/Logging_2481/kartor/A 48443-2024 karta.png", "A 48443-2024")</f>
        <v/>
      </c>
      <c r="V254">
        <f>HYPERLINK("https://klasma.github.io/Logging_2481/klagomål/A 48443-2024 FSC-klagomål.docx", "A 48443-2024")</f>
        <v/>
      </c>
      <c r="W254">
        <f>HYPERLINK("https://klasma.github.io/Logging_2481/klagomålsmail/A 48443-2024 FSC-klagomål mail.docx", "A 48443-2024")</f>
        <v/>
      </c>
      <c r="X254">
        <f>HYPERLINK("https://klasma.github.io/Logging_2481/tillsyn/A 48443-2024 tillsynsbegäran.docx", "A 48443-2024")</f>
        <v/>
      </c>
      <c r="Y254">
        <f>HYPERLINK("https://klasma.github.io/Logging_2481/tillsynsmail/A 48443-2024 tillsynsbegäran mail.docx", "A 48443-2024")</f>
        <v/>
      </c>
    </row>
    <row r="255" ht="15" customHeight="1">
      <c r="A255" t="inlineStr">
        <is>
          <t>A 48414-2024</t>
        </is>
      </c>
      <c r="B255" s="1" t="n">
        <v>45590</v>
      </c>
      <c r="C255" s="1" t="n">
        <v>45831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1.5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Dropptaggsvamp</t>
        </is>
      </c>
      <c r="S255">
        <f>HYPERLINK("https://klasma.github.io/Logging_2481/artfynd/A 48414-2024 artfynd.xlsx", "A 48414-2024")</f>
        <v/>
      </c>
      <c r="T255">
        <f>HYPERLINK("https://klasma.github.io/Logging_2481/kartor/A 48414-2024 karta.png", "A 48414-2024")</f>
        <v/>
      </c>
      <c r="V255">
        <f>HYPERLINK("https://klasma.github.io/Logging_2481/klagomål/A 48414-2024 FSC-klagomål.docx", "A 48414-2024")</f>
        <v/>
      </c>
      <c r="W255">
        <f>HYPERLINK("https://klasma.github.io/Logging_2481/klagomålsmail/A 48414-2024 FSC-klagomål mail.docx", "A 48414-2024")</f>
        <v/>
      </c>
      <c r="X255">
        <f>HYPERLINK("https://klasma.github.io/Logging_2481/tillsyn/A 48414-2024 tillsynsbegäran.docx", "A 48414-2024")</f>
        <v/>
      </c>
      <c r="Y255">
        <f>HYPERLINK("https://klasma.github.io/Logging_2481/tillsynsmail/A 48414-2024 tillsynsbegäran mail.docx", "A 48414-2024")</f>
        <v/>
      </c>
    </row>
    <row r="256" ht="15" customHeight="1">
      <c r="A256" t="inlineStr">
        <is>
          <t>A 48863-2024</t>
        </is>
      </c>
      <c r="B256" s="1" t="n">
        <v>45594</v>
      </c>
      <c r="C256" s="1" t="n">
        <v>45831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15.9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Blå taggsvamp</t>
        </is>
      </c>
      <c r="S256">
        <f>HYPERLINK("https://klasma.github.io/Logging_2481/artfynd/A 48863-2024 artfynd.xlsx", "A 48863-2024")</f>
        <v/>
      </c>
      <c r="T256">
        <f>HYPERLINK("https://klasma.github.io/Logging_2481/kartor/A 48863-2024 karta.png", "A 48863-2024")</f>
        <v/>
      </c>
      <c r="V256">
        <f>HYPERLINK("https://klasma.github.io/Logging_2481/klagomål/A 48863-2024 FSC-klagomål.docx", "A 48863-2024")</f>
        <v/>
      </c>
      <c r="W256">
        <f>HYPERLINK("https://klasma.github.io/Logging_2481/klagomålsmail/A 48863-2024 FSC-klagomål mail.docx", "A 48863-2024")</f>
        <v/>
      </c>
      <c r="X256">
        <f>HYPERLINK("https://klasma.github.io/Logging_2481/tillsyn/A 48863-2024 tillsynsbegäran.docx", "A 48863-2024")</f>
        <v/>
      </c>
      <c r="Y256">
        <f>HYPERLINK("https://klasma.github.io/Logging_2481/tillsynsmail/A 48863-2024 tillsynsbegäran mail.docx", "A 48863-2024")</f>
        <v/>
      </c>
    </row>
    <row r="257" ht="15" customHeight="1">
      <c r="A257" t="inlineStr">
        <is>
          <t>A 49125-2024</t>
        </is>
      </c>
      <c r="B257" s="1" t="n">
        <v>45594</v>
      </c>
      <c r="C257" s="1" t="n">
        <v>45831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6.7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HYPERLINK("https://klasma.github.io/Logging_2481/artfynd/A 49125-2024 artfynd.xlsx", "A 49125-2024")</f>
        <v/>
      </c>
      <c r="T257">
        <f>HYPERLINK("https://klasma.github.io/Logging_2481/kartor/A 49125-2024 karta.png", "A 49125-2024")</f>
        <v/>
      </c>
      <c r="U257">
        <f>HYPERLINK("https://klasma.github.io/Logging_2481/knärot/A 49125-2024 karta knärot.png", "A 49125-2024")</f>
        <v/>
      </c>
      <c r="V257">
        <f>HYPERLINK("https://klasma.github.io/Logging_2481/klagomål/A 49125-2024 FSC-klagomål.docx", "A 49125-2024")</f>
        <v/>
      </c>
      <c r="W257">
        <f>HYPERLINK("https://klasma.github.io/Logging_2481/klagomålsmail/A 49125-2024 FSC-klagomål mail.docx", "A 49125-2024")</f>
        <v/>
      </c>
      <c r="X257">
        <f>HYPERLINK("https://klasma.github.io/Logging_2481/tillsyn/A 49125-2024 tillsynsbegäran.docx", "A 49125-2024")</f>
        <v/>
      </c>
      <c r="Y257">
        <f>HYPERLINK("https://klasma.github.io/Logging_2481/tillsynsmail/A 49125-2024 tillsynsbegäran mail.docx", "A 49125-2024")</f>
        <v/>
      </c>
    </row>
    <row r="258" ht="15" customHeight="1">
      <c r="A258" t="inlineStr">
        <is>
          <t>A 49223-2024</t>
        </is>
      </c>
      <c r="B258" s="1" t="n">
        <v>45595</v>
      </c>
      <c r="C258" s="1" t="n">
        <v>45831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Motaggsvamp</t>
        </is>
      </c>
      <c r="S258">
        <f>HYPERLINK("https://klasma.github.io/Logging_2481/artfynd/A 49223-2024 artfynd.xlsx", "A 49223-2024")</f>
        <v/>
      </c>
      <c r="T258">
        <f>HYPERLINK("https://klasma.github.io/Logging_2481/kartor/A 49223-2024 karta.png", "A 49223-2024")</f>
        <v/>
      </c>
      <c r="V258">
        <f>HYPERLINK("https://klasma.github.io/Logging_2481/klagomål/A 49223-2024 FSC-klagomål.docx", "A 49223-2024")</f>
        <v/>
      </c>
      <c r="W258">
        <f>HYPERLINK("https://klasma.github.io/Logging_2481/klagomålsmail/A 49223-2024 FSC-klagomål mail.docx", "A 49223-2024")</f>
        <v/>
      </c>
      <c r="X258">
        <f>HYPERLINK("https://klasma.github.io/Logging_2481/tillsyn/A 49223-2024 tillsynsbegäran.docx", "A 49223-2024")</f>
        <v/>
      </c>
      <c r="Y258">
        <f>HYPERLINK("https://klasma.github.io/Logging_2481/tillsynsmail/A 49223-2024 tillsynsbegäran mail.docx", "A 49223-2024")</f>
        <v/>
      </c>
    </row>
    <row r="259" ht="15" customHeight="1">
      <c r="A259" t="inlineStr">
        <is>
          <t>A 49345-2024</t>
        </is>
      </c>
      <c r="B259" s="1" t="n">
        <v>45595</v>
      </c>
      <c r="C259" s="1" t="n">
        <v>45831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Motaggsvamp</t>
        </is>
      </c>
      <c r="S259">
        <f>HYPERLINK("https://klasma.github.io/Logging_2481/artfynd/A 49345-2024 artfynd.xlsx", "A 49345-2024")</f>
        <v/>
      </c>
      <c r="T259">
        <f>HYPERLINK("https://klasma.github.io/Logging_2481/kartor/A 49345-2024 karta.png", "A 49345-2024")</f>
        <v/>
      </c>
      <c r="V259">
        <f>HYPERLINK("https://klasma.github.io/Logging_2481/klagomål/A 49345-2024 FSC-klagomål.docx", "A 49345-2024")</f>
        <v/>
      </c>
      <c r="W259">
        <f>HYPERLINK("https://klasma.github.io/Logging_2481/klagomålsmail/A 49345-2024 FSC-klagomål mail.docx", "A 49345-2024")</f>
        <v/>
      </c>
      <c r="X259">
        <f>HYPERLINK("https://klasma.github.io/Logging_2481/tillsyn/A 49345-2024 tillsynsbegäran.docx", "A 49345-2024")</f>
        <v/>
      </c>
      <c r="Y259">
        <f>HYPERLINK("https://klasma.github.io/Logging_2481/tillsynsmail/A 49345-2024 tillsynsbegäran mail.docx", "A 49345-2024")</f>
        <v/>
      </c>
    </row>
    <row r="260" ht="15" customHeight="1">
      <c r="A260" t="inlineStr">
        <is>
          <t>A 49349-2024</t>
        </is>
      </c>
      <c r="B260" s="1" t="n">
        <v>45595</v>
      </c>
      <c r="C260" s="1" t="n">
        <v>45831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10.7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Dropptaggsvamp</t>
        </is>
      </c>
      <c r="S260">
        <f>HYPERLINK("https://klasma.github.io/Logging_2481/artfynd/A 49349-2024 artfynd.xlsx", "A 49349-2024")</f>
        <v/>
      </c>
      <c r="T260">
        <f>HYPERLINK("https://klasma.github.io/Logging_2481/kartor/A 49349-2024 karta.png", "A 49349-2024")</f>
        <v/>
      </c>
      <c r="V260">
        <f>HYPERLINK("https://klasma.github.io/Logging_2481/klagomål/A 49349-2024 FSC-klagomål.docx", "A 49349-2024")</f>
        <v/>
      </c>
      <c r="W260">
        <f>HYPERLINK("https://klasma.github.io/Logging_2481/klagomålsmail/A 49349-2024 FSC-klagomål mail.docx", "A 49349-2024")</f>
        <v/>
      </c>
      <c r="X260">
        <f>HYPERLINK("https://klasma.github.io/Logging_2481/tillsyn/A 49349-2024 tillsynsbegäran.docx", "A 49349-2024")</f>
        <v/>
      </c>
      <c r="Y260">
        <f>HYPERLINK("https://klasma.github.io/Logging_2481/tillsynsmail/A 49349-2024 tillsynsbegäran mail.docx", "A 49349-2024")</f>
        <v/>
      </c>
    </row>
    <row r="261" ht="15" customHeight="1">
      <c r="A261" t="inlineStr">
        <is>
          <t>A 49394-2024</t>
        </is>
      </c>
      <c r="B261" s="1" t="n">
        <v>45595</v>
      </c>
      <c r="C261" s="1" t="n">
        <v>45831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10.6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Lunglav</t>
        </is>
      </c>
      <c r="S261">
        <f>HYPERLINK("https://klasma.github.io/Logging_2481/artfynd/A 49394-2024 artfynd.xlsx", "A 49394-2024")</f>
        <v/>
      </c>
      <c r="T261">
        <f>HYPERLINK("https://klasma.github.io/Logging_2481/kartor/A 49394-2024 karta.png", "A 49394-2024")</f>
        <v/>
      </c>
      <c r="V261">
        <f>HYPERLINK("https://klasma.github.io/Logging_2481/klagomål/A 49394-2024 FSC-klagomål.docx", "A 49394-2024")</f>
        <v/>
      </c>
      <c r="W261">
        <f>HYPERLINK("https://klasma.github.io/Logging_2481/klagomålsmail/A 49394-2024 FSC-klagomål mail.docx", "A 49394-2024")</f>
        <v/>
      </c>
      <c r="X261">
        <f>HYPERLINK("https://klasma.github.io/Logging_2481/tillsyn/A 49394-2024 tillsynsbegäran.docx", "A 49394-2024")</f>
        <v/>
      </c>
      <c r="Y261">
        <f>HYPERLINK("https://klasma.github.io/Logging_2481/tillsynsmail/A 49394-2024 tillsynsbegäran mail.docx", "A 49394-2024")</f>
        <v/>
      </c>
    </row>
    <row r="262" ht="15" customHeight="1">
      <c r="A262" t="inlineStr">
        <is>
          <t>A 49302-2024</t>
        </is>
      </c>
      <c r="B262" s="1" t="n">
        <v>45595</v>
      </c>
      <c r="C262" s="1" t="n">
        <v>45831</v>
      </c>
      <c r="D262" t="inlineStr">
        <is>
          <t>VÄSTERBOTTENS LÄN</t>
        </is>
      </c>
      <c r="E262" t="inlineStr">
        <is>
          <t>LYCKSELE</t>
        </is>
      </c>
      <c r="G262" t="n">
        <v>5.3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HYPERLINK("https://klasma.github.io/Logging_2481/artfynd/A 49302-2024 artfynd.xlsx", "A 49302-2024")</f>
        <v/>
      </c>
      <c r="T262">
        <f>HYPERLINK("https://klasma.github.io/Logging_2481/kartor/A 49302-2024 karta.png", "A 49302-2024")</f>
        <v/>
      </c>
      <c r="V262">
        <f>HYPERLINK("https://klasma.github.io/Logging_2481/klagomål/A 49302-2024 FSC-klagomål.docx", "A 49302-2024")</f>
        <v/>
      </c>
      <c r="W262">
        <f>HYPERLINK("https://klasma.github.io/Logging_2481/klagomålsmail/A 49302-2024 FSC-klagomål mail.docx", "A 49302-2024")</f>
        <v/>
      </c>
      <c r="X262">
        <f>HYPERLINK("https://klasma.github.io/Logging_2481/tillsyn/A 49302-2024 tillsynsbegäran.docx", "A 49302-2024")</f>
        <v/>
      </c>
      <c r="Y262">
        <f>HYPERLINK("https://klasma.github.io/Logging_2481/tillsynsmail/A 49302-2024 tillsynsbegäran mail.docx", "A 49302-2024")</f>
        <v/>
      </c>
    </row>
    <row r="263" ht="15" customHeight="1">
      <c r="A263" t="inlineStr">
        <is>
          <t>A 50739-2024</t>
        </is>
      </c>
      <c r="B263" s="1" t="n">
        <v>45602</v>
      </c>
      <c r="C263" s="1" t="n">
        <v>45831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19.2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Motaggsvamp</t>
        </is>
      </c>
      <c r="S263">
        <f>HYPERLINK("https://klasma.github.io/Logging_2481/artfynd/A 50739-2024 artfynd.xlsx", "A 50739-2024")</f>
        <v/>
      </c>
      <c r="T263">
        <f>HYPERLINK("https://klasma.github.io/Logging_2481/kartor/A 50739-2024 karta.png", "A 50739-2024")</f>
        <v/>
      </c>
      <c r="V263">
        <f>HYPERLINK("https://klasma.github.io/Logging_2481/klagomål/A 50739-2024 FSC-klagomål.docx", "A 50739-2024")</f>
        <v/>
      </c>
      <c r="W263">
        <f>HYPERLINK("https://klasma.github.io/Logging_2481/klagomålsmail/A 50739-2024 FSC-klagomål mail.docx", "A 50739-2024")</f>
        <v/>
      </c>
      <c r="X263">
        <f>HYPERLINK("https://klasma.github.io/Logging_2481/tillsyn/A 50739-2024 tillsynsbegäran.docx", "A 50739-2024")</f>
        <v/>
      </c>
      <c r="Y263">
        <f>HYPERLINK("https://klasma.github.io/Logging_2481/tillsynsmail/A 50739-2024 tillsynsbegäran mail.docx", "A 50739-2024")</f>
        <v/>
      </c>
    </row>
    <row r="264" ht="15" customHeight="1">
      <c r="A264" t="inlineStr">
        <is>
          <t>A 50826-2024</t>
        </is>
      </c>
      <c r="B264" s="1" t="n">
        <v>45602</v>
      </c>
      <c r="C264" s="1" t="n">
        <v>45831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3.1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HYPERLINK("https://klasma.github.io/Logging_2481/artfynd/A 50826-2024 artfynd.xlsx", "A 50826-2024")</f>
        <v/>
      </c>
      <c r="T264">
        <f>HYPERLINK("https://klasma.github.io/Logging_2481/kartor/A 50826-2024 karta.png", "A 50826-2024")</f>
        <v/>
      </c>
      <c r="V264">
        <f>HYPERLINK("https://klasma.github.io/Logging_2481/klagomål/A 50826-2024 FSC-klagomål.docx", "A 50826-2024")</f>
        <v/>
      </c>
      <c r="W264">
        <f>HYPERLINK("https://klasma.github.io/Logging_2481/klagomålsmail/A 50826-2024 FSC-klagomål mail.docx", "A 50826-2024")</f>
        <v/>
      </c>
      <c r="X264">
        <f>HYPERLINK("https://klasma.github.io/Logging_2481/tillsyn/A 50826-2024 tillsynsbegäran.docx", "A 50826-2024")</f>
        <v/>
      </c>
      <c r="Y264">
        <f>HYPERLINK("https://klasma.github.io/Logging_2481/tillsynsmail/A 50826-2024 tillsynsbegäran mail.docx", "A 50826-2024")</f>
        <v/>
      </c>
    </row>
    <row r="265" ht="15" customHeight="1">
      <c r="A265" t="inlineStr">
        <is>
          <t>A 52235-2024</t>
        </is>
      </c>
      <c r="B265" s="1" t="n">
        <v>45608</v>
      </c>
      <c r="C265" s="1" t="n">
        <v>45831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10.5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Dropptaggsvamp</t>
        </is>
      </c>
      <c r="S265">
        <f>HYPERLINK("https://klasma.github.io/Logging_2481/artfynd/A 52235-2024 artfynd.xlsx", "A 52235-2024")</f>
        <v/>
      </c>
      <c r="T265">
        <f>HYPERLINK("https://klasma.github.io/Logging_2481/kartor/A 52235-2024 karta.png", "A 52235-2024")</f>
        <v/>
      </c>
      <c r="V265">
        <f>HYPERLINK("https://klasma.github.io/Logging_2481/klagomål/A 52235-2024 FSC-klagomål.docx", "A 52235-2024")</f>
        <v/>
      </c>
      <c r="W265">
        <f>HYPERLINK("https://klasma.github.io/Logging_2481/klagomålsmail/A 52235-2024 FSC-klagomål mail.docx", "A 52235-2024")</f>
        <v/>
      </c>
      <c r="X265">
        <f>HYPERLINK("https://klasma.github.io/Logging_2481/tillsyn/A 52235-2024 tillsynsbegäran.docx", "A 52235-2024")</f>
        <v/>
      </c>
      <c r="Y265">
        <f>HYPERLINK("https://klasma.github.io/Logging_2481/tillsynsmail/A 52235-2024 tillsynsbegäran mail.docx", "A 52235-2024")</f>
        <v/>
      </c>
    </row>
    <row r="266" ht="15" customHeight="1">
      <c r="A266" t="inlineStr">
        <is>
          <t>A 54858-2024</t>
        </is>
      </c>
      <c r="B266" s="1" t="n">
        <v>45618</v>
      </c>
      <c r="C266" s="1" t="n">
        <v>45831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7.3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Kolflarnlav</t>
        </is>
      </c>
      <c r="S266">
        <f>HYPERLINK("https://klasma.github.io/Logging_2481/artfynd/A 54858-2024 artfynd.xlsx", "A 54858-2024")</f>
        <v/>
      </c>
      <c r="T266">
        <f>HYPERLINK("https://klasma.github.io/Logging_2481/kartor/A 54858-2024 karta.png", "A 54858-2024")</f>
        <v/>
      </c>
      <c r="V266">
        <f>HYPERLINK("https://klasma.github.io/Logging_2481/klagomål/A 54858-2024 FSC-klagomål.docx", "A 54858-2024")</f>
        <v/>
      </c>
      <c r="W266">
        <f>HYPERLINK("https://klasma.github.io/Logging_2481/klagomålsmail/A 54858-2024 FSC-klagomål mail.docx", "A 54858-2024")</f>
        <v/>
      </c>
      <c r="X266">
        <f>HYPERLINK("https://klasma.github.io/Logging_2481/tillsyn/A 54858-2024 tillsynsbegäran.docx", "A 54858-2024")</f>
        <v/>
      </c>
      <c r="Y266">
        <f>HYPERLINK("https://klasma.github.io/Logging_2481/tillsynsmail/A 54858-2024 tillsynsbegäran mail.docx", "A 54858-2024")</f>
        <v/>
      </c>
    </row>
    <row r="267" ht="15" customHeight="1">
      <c r="A267" t="inlineStr">
        <is>
          <t>A 55566-2024</t>
        </is>
      </c>
      <c r="B267" s="1" t="n">
        <v>45622</v>
      </c>
      <c r="C267" s="1" t="n">
        <v>45831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Harticka</t>
        </is>
      </c>
      <c r="S267">
        <f>HYPERLINK("https://klasma.github.io/Logging_2481/artfynd/A 55566-2024 artfynd.xlsx", "A 55566-2024")</f>
        <v/>
      </c>
      <c r="T267">
        <f>HYPERLINK("https://klasma.github.io/Logging_2481/kartor/A 55566-2024 karta.png", "A 55566-2024")</f>
        <v/>
      </c>
      <c r="V267">
        <f>HYPERLINK("https://klasma.github.io/Logging_2481/klagomål/A 55566-2024 FSC-klagomål.docx", "A 55566-2024")</f>
        <v/>
      </c>
      <c r="W267">
        <f>HYPERLINK("https://klasma.github.io/Logging_2481/klagomålsmail/A 55566-2024 FSC-klagomål mail.docx", "A 55566-2024")</f>
        <v/>
      </c>
      <c r="X267">
        <f>HYPERLINK("https://klasma.github.io/Logging_2481/tillsyn/A 55566-2024 tillsynsbegäran.docx", "A 55566-2024")</f>
        <v/>
      </c>
      <c r="Y267">
        <f>HYPERLINK("https://klasma.github.io/Logging_2481/tillsynsmail/A 55566-2024 tillsynsbegäran mail.docx", "A 55566-2024")</f>
        <v/>
      </c>
    </row>
    <row r="268" ht="15" customHeight="1">
      <c r="A268" t="inlineStr">
        <is>
          <t>A 56511-2024</t>
        </is>
      </c>
      <c r="B268" s="1" t="n">
        <v>45625</v>
      </c>
      <c r="C268" s="1" t="n">
        <v>45831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3.3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Dropptaggsvamp</t>
        </is>
      </c>
      <c r="S268">
        <f>HYPERLINK("https://klasma.github.io/Logging_2481/artfynd/A 56511-2024 artfynd.xlsx", "A 56511-2024")</f>
        <v/>
      </c>
      <c r="T268">
        <f>HYPERLINK("https://klasma.github.io/Logging_2481/kartor/A 56511-2024 karta.png", "A 56511-2024")</f>
        <v/>
      </c>
      <c r="V268">
        <f>HYPERLINK("https://klasma.github.io/Logging_2481/klagomål/A 56511-2024 FSC-klagomål.docx", "A 56511-2024")</f>
        <v/>
      </c>
      <c r="W268">
        <f>HYPERLINK("https://klasma.github.io/Logging_2481/klagomålsmail/A 56511-2024 FSC-klagomål mail.docx", "A 56511-2024")</f>
        <v/>
      </c>
      <c r="X268">
        <f>HYPERLINK("https://klasma.github.io/Logging_2481/tillsyn/A 56511-2024 tillsynsbegäran.docx", "A 56511-2024")</f>
        <v/>
      </c>
      <c r="Y268">
        <f>HYPERLINK("https://klasma.github.io/Logging_2481/tillsynsmail/A 56511-2024 tillsynsbegäran mail.docx", "A 56511-2024")</f>
        <v/>
      </c>
    </row>
    <row r="269" ht="15" customHeight="1">
      <c r="A269" t="inlineStr">
        <is>
          <t>A 57663-2024</t>
        </is>
      </c>
      <c r="B269" s="1" t="n">
        <v>45630</v>
      </c>
      <c r="C269" s="1" t="n">
        <v>45831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3.3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Dropptaggsvamp</t>
        </is>
      </c>
      <c r="S269">
        <f>HYPERLINK("https://klasma.github.io/Logging_2481/artfynd/A 57663-2024 artfynd.xlsx", "A 57663-2024")</f>
        <v/>
      </c>
      <c r="T269">
        <f>HYPERLINK("https://klasma.github.io/Logging_2481/kartor/A 57663-2024 karta.png", "A 57663-2024")</f>
        <v/>
      </c>
      <c r="V269">
        <f>HYPERLINK("https://klasma.github.io/Logging_2481/klagomål/A 57663-2024 FSC-klagomål.docx", "A 57663-2024")</f>
        <v/>
      </c>
      <c r="W269">
        <f>HYPERLINK("https://klasma.github.io/Logging_2481/klagomålsmail/A 57663-2024 FSC-klagomål mail.docx", "A 57663-2024")</f>
        <v/>
      </c>
      <c r="X269">
        <f>HYPERLINK("https://klasma.github.io/Logging_2481/tillsyn/A 57663-2024 tillsynsbegäran.docx", "A 57663-2024")</f>
        <v/>
      </c>
      <c r="Y269">
        <f>HYPERLINK("https://klasma.github.io/Logging_2481/tillsynsmail/A 57663-2024 tillsynsbegäran mail.docx", "A 57663-2024")</f>
        <v/>
      </c>
    </row>
    <row r="270" ht="15" customHeight="1">
      <c r="A270" t="inlineStr">
        <is>
          <t>A 59283-2024</t>
        </is>
      </c>
      <c r="B270" s="1" t="n">
        <v>45637</v>
      </c>
      <c r="C270" s="1" t="n">
        <v>45831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Dropptaggsvamp</t>
        </is>
      </c>
      <c r="S270">
        <f>HYPERLINK("https://klasma.github.io/Logging_2481/artfynd/A 59283-2024 artfynd.xlsx", "A 59283-2024")</f>
        <v/>
      </c>
      <c r="T270">
        <f>HYPERLINK("https://klasma.github.io/Logging_2481/kartor/A 59283-2024 karta.png", "A 59283-2024")</f>
        <v/>
      </c>
      <c r="V270">
        <f>HYPERLINK("https://klasma.github.io/Logging_2481/klagomål/A 59283-2024 FSC-klagomål.docx", "A 59283-2024")</f>
        <v/>
      </c>
      <c r="W270">
        <f>HYPERLINK("https://klasma.github.io/Logging_2481/klagomålsmail/A 59283-2024 FSC-klagomål mail.docx", "A 59283-2024")</f>
        <v/>
      </c>
      <c r="X270">
        <f>HYPERLINK("https://klasma.github.io/Logging_2481/tillsyn/A 59283-2024 tillsynsbegäran.docx", "A 59283-2024")</f>
        <v/>
      </c>
      <c r="Y270">
        <f>HYPERLINK("https://klasma.github.io/Logging_2481/tillsynsmail/A 59283-2024 tillsynsbegäran mail.docx", "A 59283-2024")</f>
        <v/>
      </c>
    </row>
    <row r="271" ht="15" customHeight="1">
      <c r="A271" t="inlineStr">
        <is>
          <t>A 59599-2024</t>
        </is>
      </c>
      <c r="B271" s="1" t="n">
        <v>45638</v>
      </c>
      <c r="C271" s="1" t="n">
        <v>45831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2.4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Dropptaggsvamp</t>
        </is>
      </c>
      <c r="S271">
        <f>HYPERLINK("https://klasma.github.io/Logging_2481/artfynd/A 59599-2024 artfynd.xlsx", "A 59599-2024")</f>
        <v/>
      </c>
      <c r="T271">
        <f>HYPERLINK("https://klasma.github.io/Logging_2481/kartor/A 59599-2024 karta.png", "A 59599-2024")</f>
        <v/>
      </c>
      <c r="V271">
        <f>HYPERLINK("https://klasma.github.io/Logging_2481/klagomål/A 59599-2024 FSC-klagomål.docx", "A 59599-2024")</f>
        <v/>
      </c>
      <c r="W271">
        <f>HYPERLINK("https://klasma.github.io/Logging_2481/klagomålsmail/A 59599-2024 FSC-klagomål mail.docx", "A 59599-2024")</f>
        <v/>
      </c>
      <c r="X271">
        <f>HYPERLINK("https://klasma.github.io/Logging_2481/tillsyn/A 59599-2024 tillsynsbegäran.docx", "A 59599-2024")</f>
        <v/>
      </c>
      <c r="Y271">
        <f>HYPERLINK("https://klasma.github.io/Logging_2481/tillsynsmail/A 59599-2024 tillsynsbegäran mail.docx", "A 59599-2024")</f>
        <v/>
      </c>
    </row>
    <row r="272" ht="15" customHeight="1">
      <c r="A272" t="inlineStr">
        <is>
          <t>A 61896-2024</t>
        </is>
      </c>
      <c r="B272" s="1" t="n">
        <v>45652</v>
      </c>
      <c r="C272" s="1" t="n">
        <v>45831</v>
      </c>
      <c r="D272" t="inlineStr">
        <is>
          <t>VÄSTERBOTTENS LÄN</t>
        </is>
      </c>
      <c r="E272" t="inlineStr">
        <is>
          <t>LYCKSELE</t>
        </is>
      </c>
      <c r="G272" t="n">
        <v>6.6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Harticka</t>
        </is>
      </c>
      <c r="S272">
        <f>HYPERLINK("https://klasma.github.io/Logging_2481/artfynd/A 61896-2024 artfynd.xlsx", "A 61896-2024")</f>
        <v/>
      </c>
      <c r="T272">
        <f>HYPERLINK("https://klasma.github.io/Logging_2481/kartor/A 61896-2024 karta.png", "A 61896-2024")</f>
        <v/>
      </c>
      <c r="V272">
        <f>HYPERLINK("https://klasma.github.io/Logging_2481/klagomål/A 61896-2024 FSC-klagomål.docx", "A 61896-2024")</f>
        <v/>
      </c>
      <c r="W272">
        <f>HYPERLINK("https://klasma.github.io/Logging_2481/klagomålsmail/A 61896-2024 FSC-klagomål mail.docx", "A 61896-2024")</f>
        <v/>
      </c>
      <c r="X272">
        <f>HYPERLINK("https://klasma.github.io/Logging_2481/tillsyn/A 61896-2024 tillsynsbegäran.docx", "A 61896-2024")</f>
        <v/>
      </c>
      <c r="Y272">
        <f>HYPERLINK("https://klasma.github.io/Logging_2481/tillsynsmail/A 61896-2024 tillsynsbegäran mail.docx", "A 61896-2024")</f>
        <v/>
      </c>
    </row>
    <row r="273" ht="15" customHeight="1">
      <c r="A273" t="inlineStr">
        <is>
          <t>A 61910-2024</t>
        </is>
      </c>
      <c r="B273" s="1" t="n">
        <v>45653</v>
      </c>
      <c r="C273" s="1" t="n">
        <v>45831</v>
      </c>
      <c r="D273" t="inlineStr">
        <is>
          <t>VÄSTERBOTTENS LÄN</t>
        </is>
      </c>
      <c r="E273" t="inlineStr">
        <is>
          <t>LYCKSELE</t>
        </is>
      </c>
      <c r="G273" t="n">
        <v>5.8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Norna</t>
        </is>
      </c>
      <c r="S273">
        <f>HYPERLINK("https://klasma.github.io/Logging_2481/artfynd/A 61910-2024 artfynd.xlsx", "A 61910-2024")</f>
        <v/>
      </c>
      <c r="T273">
        <f>HYPERLINK("https://klasma.github.io/Logging_2481/kartor/A 61910-2024 karta.png", "A 61910-2024")</f>
        <v/>
      </c>
      <c r="V273">
        <f>HYPERLINK("https://klasma.github.io/Logging_2481/klagomål/A 61910-2024 FSC-klagomål.docx", "A 61910-2024")</f>
        <v/>
      </c>
      <c r="W273">
        <f>HYPERLINK("https://klasma.github.io/Logging_2481/klagomålsmail/A 61910-2024 FSC-klagomål mail.docx", "A 61910-2024")</f>
        <v/>
      </c>
      <c r="X273">
        <f>HYPERLINK("https://klasma.github.io/Logging_2481/tillsyn/A 61910-2024 tillsynsbegäran.docx", "A 61910-2024")</f>
        <v/>
      </c>
      <c r="Y273">
        <f>HYPERLINK("https://klasma.github.io/Logging_2481/tillsynsmail/A 61910-2024 tillsynsbegäran mail.docx", "A 61910-2024")</f>
        <v/>
      </c>
    </row>
    <row r="274" ht="15" customHeight="1">
      <c r="A274" t="inlineStr">
        <is>
          <t>A 219-2025</t>
        </is>
      </c>
      <c r="B274" s="1" t="n">
        <v>45660</v>
      </c>
      <c r="C274" s="1" t="n">
        <v>45831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Dropptaggsvamp</t>
        </is>
      </c>
      <c r="S274">
        <f>HYPERLINK("https://klasma.github.io/Logging_2481/artfynd/A 219-2025 artfynd.xlsx", "A 219-2025")</f>
        <v/>
      </c>
      <c r="T274">
        <f>HYPERLINK("https://klasma.github.io/Logging_2481/kartor/A 219-2025 karta.png", "A 219-2025")</f>
        <v/>
      </c>
      <c r="V274">
        <f>HYPERLINK("https://klasma.github.io/Logging_2481/klagomål/A 219-2025 FSC-klagomål.docx", "A 219-2025")</f>
        <v/>
      </c>
      <c r="W274">
        <f>HYPERLINK("https://klasma.github.io/Logging_2481/klagomålsmail/A 219-2025 FSC-klagomål mail.docx", "A 219-2025")</f>
        <v/>
      </c>
      <c r="X274">
        <f>HYPERLINK("https://klasma.github.io/Logging_2481/tillsyn/A 219-2025 tillsynsbegäran.docx", "A 219-2025")</f>
        <v/>
      </c>
      <c r="Y274">
        <f>HYPERLINK("https://klasma.github.io/Logging_2481/tillsynsmail/A 219-2025 tillsynsbegäran mail.docx", "A 219-2025")</f>
        <v/>
      </c>
    </row>
    <row r="275" ht="15" customHeight="1">
      <c r="A275" t="inlineStr">
        <is>
          <t>A 742-2025</t>
        </is>
      </c>
      <c r="B275" s="1" t="n">
        <v>45665</v>
      </c>
      <c r="C275" s="1" t="n">
        <v>45831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Holmen skog AB</t>
        </is>
      </c>
      <c r="G275" t="n">
        <v>5.6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Fläcknycklar</t>
        </is>
      </c>
      <c r="S275">
        <f>HYPERLINK("https://klasma.github.io/Logging_2481/artfynd/A 742-2025 artfynd.xlsx", "A 742-2025")</f>
        <v/>
      </c>
      <c r="T275">
        <f>HYPERLINK("https://klasma.github.io/Logging_2481/kartor/A 742-2025 karta.png", "A 742-2025")</f>
        <v/>
      </c>
      <c r="V275">
        <f>HYPERLINK("https://klasma.github.io/Logging_2481/klagomål/A 742-2025 FSC-klagomål.docx", "A 742-2025")</f>
        <v/>
      </c>
      <c r="W275">
        <f>HYPERLINK("https://klasma.github.io/Logging_2481/klagomålsmail/A 742-2025 FSC-klagomål mail.docx", "A 742-2025")</f>
        <v/>
      </c>
      <c r="X275">
        <f>HYPERLINK("https://klasma.github.io/Logging_2481/tillsyn/A 742-2025 tillsynsbegäran.docx", "A 742-2025")</f>
        <v/>
      </c>
      <c r="Y275">
        <f>HYPERLINK("https://klasma.github.io/Logging_2481/tillsynsmail/A 742-2025 tillsynsbegäran mail.docx", "A 742-2025")</f>
        <v/>
      </c>
    </row>
    <row r="276" ht="15" customHeight="1">
      <c r="A276" t="inlineStr">
        <is>
          <t>A 5683-2025</t>
        </is>
      </c>
      <c r="B276" s="1" t="n">
        <v>45694</v>
      </c>
      <c r="C276" s="1" t="n">
        <v>45831</v>
      </c>
      <c r="D276" t="inlineStr">
        <is>
          <t>VÄSTERBOTTENS LÄN</t>
        </is>
      </c>
      <c r="E276" t="inlineStr">
        <is>
          <t>LYCKSELE</t>
        </is>
      </c>
      <c r="G276" t="n">
        <v>4.4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Vitgrynig nållav</t>
        </is>
      </c>
      <c r="S276">
        <f>HYPERLINK("https://klasma.github.io/Logging_2481/artfynd/A 5683-2025 artfynd.xlsx", "A 5683-2025")</f>
        <v/>
      </c>
      <c r="T276">
        <f>HYPERLINK("https://klasma.github.io/Logging_2481/kartor/A 5683-2025 karta.png", "A 5683-2025")</f>
        <v/>
      </c>
      <c r="V276">
        <f>HYPERLINK("https://klasma.github.io/Logging_2481/klagomål/A 5683-2025 FSC-klagomål.docx", "A 5683-2025")</f>
        <v/>
      </c>
      <c r="W276">
        <f>HYPERLINK("https://klasma.github.io/Logging_2481/klagomålsmail/A 5683-2025 FSC-klagomål mail.docx", "A 5683-2025")</f>
        <v/>
      </c>
      <c r="X276">
        <f>HYPERLINK("https://klasma.github.io/Logging_2481/tillsyn/A 5683-2025 tillsynsbegäran.docx", "A 5683-2025")</f>
        <v/>
      </c>
      <c r="Y276">
        <f>HYPERLINK("https://klasma.github.io/Logging_2481/tillsynsmail/A 5683-2025 tillsynsbegäran mail.docx", "A 5683-2025")</f>
        <v/>
      </c>
    </row>
    <row r="277" ht="15" customHeight="1">
      <c r="A277" t="inlineStr">
        <is>
          <t>A 20929-2025</t>
        </is>
      </c>
      <c r="B277" s="1" t="n">
        <v>45777</v>
      </c>
      <c r="C277" s="1" t="n">
        <v>45831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3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Dropptaggsvamp</t>
        </is>
      </c>
      <c r="S277">
        <f>HYPERLINK("https://klasma.github.io/Logging_242481/artfynd/A 20929-2025 artfynd.xlsx", "A 20929-2025")</f>
        <v/>
      </c>
      <c r="T277">
        <f>HYPERLINK("https://klasma.github.io/Logging_242481/kartor/A 20929-2025 karta.png", "A 20929-2025")</f>
        <v/>
      </c>
      <c r="V277">
        <f>HYPERLINK("https://klasma.github.io/Logging_242481/klagomål/A 20929-2025 FSC-klagomål.docx", "A 20929-2025")</f>
        <v/>
      </c>
      <c r="W277">
        <f>HYPERLINK("https://klasma.github.io/Logging_242481/klagomålsmail/A 20929-2025 FSC-klagomål mail.docx", "A 20929-2025")</f>
        <v/>
      </c>
      <c r="X277">
        <f>HYPERLINK("https://klasma.github.io/Logging_242481/tillsyn/A 20929-2025 tillsynsbegäran.docx", "A 20929-2025")</f>
        <v/>
      </c>
      <c r="Y277">
        <f>HYPERLINK("https://klasma.github.io/Logging_242481/tillsynsmail/A 20929-2025 tillsynsbegäran mail.docx", "A 20929-2025")</f>
        <v/>
      </c>
    </row>
    <row r="278" ht="15" customHeight="1">
      <c r="A278" t="inlineStr">
        <is>
          <t>A 20940-2025</t>
        </is>
      </c>
      <c r="B278" s="1" t="n">
        <v>45777</v>
      </c>
      <c r="C278" s="1" t="n">
        <v>45831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Dropptaggsvamp</t>
        </is>
      </c>
      <c r="S278">
        <f>HYPERLINK("https://klasma.github.io/Logging_242481/artfynd/A 20940-2025 artfynd.xlsx", "A 20940-2025")</f>
        <v/>
      </c>
      <c r="T278">
        <f>HYPERLINK("https://klasma.github.io/Logging_242481/kartor/A 20940-2025 karta.png", "A 20940-2025")</f>
        <v/>
      </c>
      <c r="V278">
        <f>HYPERLINK("https://klasma.github.io/Logging_242481/klagomål/A 20940-2025 FSC-klagomål.docx", "A 20940-2025")</f>
        <v/>
      </c>
      <c r="W278">
        <f>HYPERLINK("https://klasma.github.io/Logging_242481/klagomålsmail/A 20940-2025 FSC-klagomål mail.docx", "A 20940-2025")</f>
        <v/>
      </c>
      <c r="X278">
        <f>HYPERLINK("https://klasma.github.io/Logging_242481/tillsyn/A 20940-2025 tillsynsbegäran.docx", "A 20940-2025")</f>
        <v/>
      </c>
      <c r="Y278">
        <f>HYPERLINK("https://klasma.github.io/Logging_242481/tillsynsmail/A 20940-2025 tillsynsbegäran mail.docx", "A 20940-2025")</f>
        <v/>
      </c>
    </row>
    <row r="279" ht="15" customHeight="1">
      <c r="A279" t="inlineStr">
        <is>
          <t>A 22373-2025</t>
        </is>
      </c>
      <c r="B279" s="1" t="n">
        <v>45786</v>
      </c>
      <c r="C279" s="1" t="n">
        <v>45831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5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Garnlav</t>
        </is>
      </c>
      <c r="S279">
        <f>HYPERLINK("https://klasma.github.io/Logging_242481/artfynd/A 22373-2025 artfynd.xlsx", "A 22373-2025")</f>
        <v/>
      </c>
      <c r="T279">
        <f>HYPERLINK("https://klasma.github.io/Logging_242481/kartor/A 22373-2025 karta.png", "A 22373-2025")</f>
        <v/>
      </c>
      <c r="V279">
        <f>HYPERLINK("https://klasma.github.io/Logging_242481/klagomål/A 22373-2025 FSC-klagomål.docx", "A 22373-2025")</f>
        <v/>
      </c>
      <c r="W279">
        <f>HYPERLINK("https://klasma.github.io/Logging_242481/klagomålsmail/A 22373-2025 FSC-klagomål mail.docx", "A 22373-2025")</f>
        <v/>
      </c>
      <c r="X279">
        <f>HYPERLINK("https://klasma.github.io/Logging_242481/tillsyn/A 22373-2025 tillsynsbegäran.docx", "A 22373-2025")</f>
        <v/>
      </c>
      <c r="Y279">
        <f>HYPERLINK("https://klasma.github.io/Logging_242481/tillsynsmail/A 22373-2025 tillsynsbegäran mail.docx", "A 22373-2025")</f>
        <v/>
      </c>
    </row>
    <row r="280" ht="15" customHeight="1">
      <c r="A280" t="inlineStr">
        <is>
          <t>A 23278-2025</t>
        </is>
      </c>
      <c r="B280" s="1" t="n">
        <v>45791</v>
      </c>
      <c r="C280" s="1" t="n">
        <v>45831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7.4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Lunglav</t>
        </is>
      </c>
      <c r="S280">
        <f>HYPERLINK("https://klasma.github.io/Logging_242481/artfynd/A 23278-2025 artfynd.xlsx", "A 23278-2025")</f>
        <v/>
      </c>
      <c r="T280">
        <f>HYPERLINK("https://klasma.github.io/Logging_242481/kartor/A 23278-2025 karta.png", "A 23278-2025")</f>
        <v/>
      </c>
      <c r="V280">
        <f>HYPERLINK("https://klasma.github.io/Logging_242481/klagomål/A 23278-2025 FSC-klagomål.docx", "A 23278-2025")</f>
        <v/>
      </c>
      <c r="W280">
        <f>HYPERLINK("https://klasma.github.io/Logging_242481/klagomålsmail/A 23278-2025 FSC-klagomål mail.docx", "A 23278-2025")</f>
        <v/>
      </c>
      <c r="X280">
        <f>HYPERLINK("https://klasma.github.io/Logging_242481/tillsyn/A 23278-2025 tillsynsbegäran.docx", "A 23278-2025")</f>
        <v/>
      </c>
      <c r="Y280">
        <f>HYPERLINK("https://klasma.github.io/Logging_242481/tillsynsmail/A 23278-2025 tillsynsbegäran mail.docx", "A 23278-2025")</f>
        <v/>
      </c>
    </row>
    <row r="281" ht="15" customHeight="1">
      <c r="A281" t="inlineStr">
        <is>
          <t>A 23314-2025</t>
        </is>
      </c>
      <c r="B281" s="1" t="n">
        <v>45791</v>
      </c>
      <c r="C281" s="1" t="n">
        <v>45831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Orange taggsvamp</t>
        </is>
      </c>
      <c r="S281">
        <f>HYPERLINK("https://klasma.github.io/Logging_242481/artfynd/A 23314-2025 artfynd.xlsx", "A 23314-2025")</f>
        <v/>
      </c>
      <c r="T281">
        <f>HYPERLINK("https://klasma.github.io/Logging_242481/kartor/A 23314-2025 karta.png", "A 23314-2025")</f>
        <v/>
      </c>
      <c r="V281">
        <f>HYPERLINK("https://klasma.github.io/Logging_242481/klagomål/A 23314-2025 FSC-klagomål.docx", "A 23314-2025")</f>
        <v/>
      </c>
      <c r="W281">
        <f>HYPERLINK("https://klasma.github.io/Logging_242481/klagomålsmail/A 23314-2025 FSC-klagomål mail.docx", "A 23314-2025")</f>
        <v/>
      </c>
      <c r="X281">
        <f>HYPERLINK("https://klasma.github.io/Logging_242481/tillsyn/A 23314-2025 tillsynsbegäran.docx", "A 23314-2025")</f>
        <v/>
      </c>
      <c r="Y281">
        <f>HYPERLINK("https://klasma.github.io/Logging_242481/tillsynsmail/A 23314-2025 tillsynsbegäran mail.docx", "A 23314-2025")</f>
        <v/>
      </c>
    </row>
    <row r="282" ht="15" customHeight="1">
      <c r="A282" t="inlineStr">
        <is>
          <t>A 24515-2025</t>
        </is>
      </c>
      <c r="B282" s="1" t="n">
        <v>45798</v>
      </c>
      <c r="C282" s="1" t="n">
        <v>45831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9.9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Talltita</t>
        </is>
      </c>
      <c r="S282">
        <f>HYPERLINK("https://klasma.github.io/Logging_242481/artfynd/A 24515-2025 artfynd.xlsx", "A 24515-2025")</f>
        <v/>
      </c>
      <c r="T282">
        <f>HYPERLINK("https://klasma.github.io/Logging_242481/kartor/A 24515-2025 karta.png", "A 24515-2025")</f>
        <v/>
      </c>
      <c r="V282">
        <f>HYPERLINK("https://klasma.github.io/Logging_242481/klagomål/A 24515-2025 FSC-klagomål.docx", "A 24515-2025")</f>
        <v/>
      </c>
      <c r="W282">
        <f>HYPERLINK("https://klasma.github.io/Logging_242481/klagomålsmail/A 24515-2025 FSC-klagomål mail.docx", "A 24515-2025")</f>
        <v/>
      </c>
      <c r="X282">
        <f>HYPERLINK("https://klasma.github.io/Logging_242481/tillsyn/A 24515-2025 tillsynsbegäran.docx", "A 24515-2025")</f>
        <v/>
      </c>
      <c r="Y282">
        <f>HYPERLINK("https://klasma.github.io/Logging_242481/tillsynsmail/A 24515-2025 tillsynsbegäran mail.docx", "A 24515-2025")</f>
        <v/>
      </c>
      <c r="Z282">
        <f>HYPERLINK("https://klasma.github.io/Logging_242481/fåglar/A 24515-2025 prioriterade fågelarter.docx", "A 24515-2025")</f>
        <v/>
      </c>
    </row>
    <row r="283" ht="15" customHeight="1">
      <c r="A283" t="inlineStr">
        <is>
          <t>A 28307-2025</t>
        </is>
      </c>
      <c r="B283" s="1" t="n">
        <v>45818</v>
      </c>
      <c r="C283" s="1" t="n">
        <v>45831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3.6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Lunglav</t>
        </is>
      </c>
      <c r="S283">
        <f>HYPERLINK("https://klasma.github.io/Logging_242481/artfynd/A 28307-2025 artfynd.xlsx", "A 28307-2025")</f>
        <v/>
      </c>
      <c r="T283">
        <f>HYPERLINK("https://klasma.github.io/Logging_242481/kartor/A 28307-2025 karta.png", "A 28307-2025")</f>
        <v/>
      </c>
      <c r="V283">
        <f>HYPERLINK("https://klasma.github.io/Logging_242481/klagomål/A 28307-2025 FSC-klagomål.docx", "A 28307-2025")</f>
        <v/>
      </c>
      <c r="W283">
        <f>HYPERLINK("https://klasma.github.io/Logging_242481/klagomålsmail/A 28307-2025 FSC-klagomål mail.docx", "A 28307-2025")</f>
        <v/>
      </c>
      <c r="X283">
        <f>HYPERLINK("https://klasma.github.io/Logging_242481/tillsyn/A 28307-2025 tillsynsbegäran.docx", "A 28307-2025")</f>
        <v/>
      </c>
      <c r="Y283">
        <f>HYPERLINK("https://klasma.github.io/Logging_242481/tillsynsmail/A 28307-2025 tillsynsbegäran mail.docx", "A 28307-2025")</f>
        <v/>
      </c>
    </row>
    <row r="284" ht="15" customHeight="1">
      <c r="A284" t="inlineStr">
        <is>
          <t>A 28829-2025</t>
        </is>
      </c>
      <c r="B284" s="1" t="n">
        <v>45820</v>
      </c>
      <c r="C284" s="1" t="n">
        <v>45831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9.9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Skarp dropptaggsvamp</t>
        </is>
      </c>
      <c r="S284">
        <f>HYPERLINK("https://klasma.github.io/Logging_242481/artfynd/A 28829-2025 artfynd.xlsx", "A 28829-2025")</f>
        <v/>
      </c>
      <c r="T284">
        <f>HYPERLINK("https://klasma.github.io/Logging_242481/kartor/A 28829-2025 karta.png", "A 28829-2025")</f>
        <v/>
      </c>
      <c r="V284">
        <f>HYPERLINK("https://klasma.github.io/Logging_242481/klagomål/A 28829-2025 FSC-klagomål.docx", "A 28829-2025")</f>
        <v/>
      </c>
      <c r="W284">
        <f>HYPERLINK("https://klasma.github.io/Logging_242481/klagomålsmail/A 28829-2025 FSC-klagomål mail.docx", "A 28829-2025")</f>
        <v/>
      </c>
      <c r="X284">
        <f>HYPERLINK("https://klasma.github.io/Logging_242481/tillsyn/A 28829-2025 tillsynsbegäran.docx", "A 28829-2025")</f>
        <v/>
      </c>
      <c r="Y284">
        <f>HYPERLINK("https://klasma.github.io/Logging_242481/tillsynsmail/A 28829-2025 tillsynsbegäran mail.docx", "A 28829-2025")</f>
        <v/>
      </c>
    </row>
    <row r="285" ht="15" customHeight="1">
      <c r="A285" t="inlineStr">
        <is>
          <t>A 18986-2019</t>
        </is>
      </c>
      <c r="B285" s="1" t="n">
        <v>43563</v>
      </c>
      <c r="C285" s="1" t="n">
        <v>45831</v>
      </c>
      <c r="D285" t="inlineStr">
        <is>
          <t>VÄSTERBOTTENS LÄN</t>
        </is>
      </c>
      <c r="E285" t="inlineStr">
        <is>
          <t>LYCKSELE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19604-2019</t>
        </is>
      </c>
      <c r="B286" s="1" t="n">
        <v>43566</v>
      </c>
      <c r="C286" s="1" t="n">
        <v>45831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20928-2019</t>
        </is>
      </c>
      <c r="B287" s="1" t="n">
        <v>43572</v>
      </c>
      <c r="C287" s="1" t="n">
        <v>45831</v>
      </c>
      <c r="D287" t="inlineStr">
        <is>
          <t>VÄSTERBOTTENS LÄN</t>
        </is>
      </c>
      <c r="E287" t="inlineStr">
        <is>
          <t>LYCKSELE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21331-2019</t>
        </is>
      </c>
      <c r="B288" s="1" t="n">
        <v>43579</v>
      </c>
      <c r="C288" s="1" t="n">
        <v>45831</v>
      </c>
      <c r="D288" t="inlineStr">
        <is>
          <t>VÄSTERBOTTENS LÄN</t>
        </is>
      </c>
      <c r="E288" t="inlineStr">
        <is>
          <t>LYCKSELE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21775-2019</t>
        </is>
      </c>
      <c r="B289" s="1" t="n">
        <v>43581</v>
      </c>
      <c r="C289" s="1" t="n">
        <v>45831</v>
      </c>
      <c r="D289" t="inlineStr">
        <is>
          <t>VÄSTERBOTTENS LÄN</t>
        </is>
      </c>
      <c r="E289" t="inlineStr">
        <is>
          <t>LYCKSELE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21766-2019</t>
        </is>
      </c>
      <c r="B290" s="1" t="n">
        <v>43581</v>
      </c>
      <c r="C290" s="1" t="n">
        <v>45831</v>
      </c>
      <c r="D290" t="inlineStr">
        <is>
          <t>VÄSTERBOTTENS LÄN</t>
        </is>
      </c>
      <c r="E290" t="inlineStr">
        <is>
          <t>LYCKSELE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21756-2019</t>
        </is>
      </c>
      <c r="B291" s="1" t="n">
        <v>43581</v>
      </c>
      <c r="C291" s="1" t="n">
        <v>45831</v>
      </c>
      <c r="D291" t="inlineStr">
        <is>
          <t>VÄSTERBOTTENS LÄN</t>
        </is>
      </c>
      <c r="E291" t="inlineStr">
        <is>
          <t>LYCKSELE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21754-2019</t>
        </is>
      </c>
      <c r="B292" s="1" t="n">
        <v>43581</v>
      </c>
      <c r="C292" s="1" t="n">
        <v>45831</v>
      </c>
      <c r="D292" t="inlineStr">
        <is>
          <t>VÄSTERBOTTENS LÄN</t>
        </is>
      </c>
      <c r="E292" t="inlineStr">
        <is>
          <t>LYCKSELE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22320-2019</t>
        </is>
      </c>
      <c r="B293" s="1" t="n">
        <v>43586</v>
      </c>
      <c r="C293" s="1" t="n">
        <v>45831</v>
      </c>
      <c r="D293" t="inlineStr">
        <is>
          <t>VÄSTERBOTTENS LÄN</t>
        </is>
      </c>
      <c r="E293" t="inlineStr">
        <is>
          <t>LYCKSELE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22318-2019</t>
        </is>
      </c>
      <c r="B294" s="1" t="n">
        <v>43586</v>
      </c>
      <c r="C294" s="1" t="n">
        <v>45831</v>
      </c>
      <c r="D294" t="inlineStr">
        <is>
          <t>VÄSTERBOTTENS LÄN</t>
        </is>
      </c>
      <c r="E294" t="inlineStr">
        <is>
          <t>LYCKSELE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23158-2019</t>
        </is>
      </c>
      <c r="B295" s="1" t="n">
        <v>43592</v>
      </c>
      <c r="C295" s="1" t="n">
        <v>45831</v>
      </c>
      <c r="D295" t="inlineStr">
        <is>
          <t>VÄSTERBOTTENS LÄN</t>
        </is>
      </c>
      <c r="E295" t="inlineStr">
        <is>
          <t>LYCKSELE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23103-2019</t>
        </is>
      </c>
      <c r="B296" s="1" t="n">
        <v>43592</v>
      </c>
      <c r="C296" s="1" t="n">
        <v>45831</v>
      </c>
      <c r="D296" t="inlineStr">
        <is>
          <t>VÄSTERBOTTENS LÄN</t>
        </is>
      </c>
      <c r="E296" t="inlineStr">
        <is>
          <t>LYCKSELE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23106-2019</t>
        </is>
      </c>
      <c r="B297" s="1" t="n">
        <v>43592</v>
      </c>
      <c r="C297" s="1" t="n">
        <v>45831</v>
      </c>
      <c r="D297" t="inlineStr">
        <is>
          <t>VÄSTERBOTTENS LÄN</t>
        </is>
      </c>
      <c r="E297" t="inlineStr">
        <is>
          <t>LYCKSELE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23282-2019</t>
        </is>
      </c>
      <c r="B298" s="1" t="n">
        <v>43593</v>
      </c>
      <c r="C298" s="1" t="n">
        <v>45831</v>
      </c>
      <c r="D298" t="inlineStr">
        <is>
          <t>VÄSTERBOTTENS LÄN</t>
        </is>
      </c>
      <c r="E298" t="inlineStr">
        <is>
          <t>LYCKSELE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23520-2019</t>
        </is>
      </c>
      <c r="B299" s="1" t="n">
        <v>43593</v>
      </c>
      <c r="C299" s="1" t="n">
        <v>45831</v>
      </c>
      <c r="D299" t="inlineStr">
        <is>
          <t>VÄSTERBOTTENS LÄN</t>
        </is>
      </c>
      <c r="E299" t="inlineStr">
        <is>
          <t>LYCKSELE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23536-2019</t>
        </is>
      </c>
      <c r="B300" s="1" t="n">
        <v>43594</v>
      </c>
      <c r="C300" s="1" t="n">
        <v>45831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23938-2019</t>
        </is>
      </c>
      <c r="B301" s="1" t="n">
        <v>43595</v>
      </c>
      <c r="C301" s="1" t="n">
        <v>45831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24332-2019</t>
        </is>
      </c>
      <c r="B302" s="1" t="n">
        <v>43598</v>
      </c>
      <c r="C302" s="1" t="n">
        <v>45831</v>
      </c>
      <c r="D302" t="inlineStr">
        <is>
          <t>VÄSTERBOTTENS LÄN</t>
        </is>
      </c>
      <c r="E302" t="inlineStr">
        <is>
          <t>LYCKSELE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24335-2019</t>
        </is>
      </c>
      <c r="B303" s="1" t="n">
        <v>43598</v>
      </c>
      <c r="C303" s="1" t="n">
        <v>45831</v>
      </c>
      <c r="D303" t="inlineStr">
        <is>
          <t>VÄSTERBOTTENS LÄN</t>
        </is>
      </c>
      <c r="E303" t="inlineStr">
        <is>
          <t>LYCKSELE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24581-2019</t>
        </is>
      </c>
      <c r="B304" s="1" t="n">
        <v>43600</v>
      </c>
      <c r="C304" s="1" t="n">
        <v>45831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SCA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29088-2019</t>
        </is>
      </c>
      <c r="B305" s="1" t="n">
        <v>43621</v>
      </c>
      <c r="C305" s="1" t="n">
        <v>45831</v>
      </c>
      <c r="D305" t="inlineStr">
        <is>
          <t>VÄSTERBOTTENS LÄN</t>
        </is>
      </c>
      <c r="E305" t="inlineStr">
        <is>
          <t>LYCKSELE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28569-2019</t>
        </is>
      </c>
      <c r="B306" s="1" t="n">
        <v>43626</v>
      </c>
      <c r="C306" s="1" t="n">
        <v>45831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29397-2019</t>
        </is>
      </c>
      <c r="B307" s="1" t="n">
        <v>43627</v>
      </c>
      <c r="C307" s="1" t="n">
        <v>45831</v>
      </c>
      <c r="D307" t="inlineStr">
        <is>
          <t>VÄSTERBOTTENS LÄN</t>
        </is>
      </c>
      <c r="E307" t="inlineStr">
        <is>
          <t>LYCKSELE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29394-2019</t>
        </is>
      </c>
      <c r="B308" s="1" t="n">
        <v>43627</v>
      </c>
      <c r="C308" s="1" t="n">
        <v>45831</v>
      </c>
      <c r="D308" t="inlineStr">
        <is>
          <t>VÄSTERBOTTENS LÄN</t>
        </is>
      </c>
      <c r="E308" t="inlineStr">
        <is>
          <t>LYCKSELE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30082-2019</t>
        </is>
      </c>
      <c r="B309" s="1" t="n">
        <v>43633</v>
      </c>
      <c r="C309" s="1" t="n">
        <v>45831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30420-2019</t>
        </is>
      </c>
      <c r="B310" s="1" t="n">
        <v>43633</v>
      </c>
      <c r="C310" s="1" t="n">
        <v>45831</v>
      </c>
      <c r="D310" t="inlineStr">
        <is>
          <t>VÄSTERBOTTENS LÄN</t>
        </is>
      </c>
      <c r="E310" t="inlineStr">
        <is>
          <t>LYCKSELE</t>
        </is>
      </c>
      <c r="G310" t="n">
        <v>21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30333-2019</t>
        </is>
      </c>
      <c r="B311" s="1" t="n">
        <v>43634</v>
      </c>
      <c r="C311" s="1" t="n">
        <v>45831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30335-2019</t>
        </is>
      </c>
      <c r="B312" s="1" t="n">
        <v>43634</v>
      </c>
      <c r="C312" s="1" t="n">
        <v>45831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31917-2019</t>
        </is>
      </c>
      <c r="B313" s="1" t="n">
        <v>43641</v>
      </c>
      <c r="C313" s="1" t="n">
        <v>45831</v>
      </c>
      <c r="D313" t="inlineStr">
        <is>
          <t>VÄSTERBOTTENS LÄN</t>
        </is>
      </c>
      <c r="E313" t="inlineStr">
        <is>
          <t>LYCKSELE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31883-2019</t>
        </is>
      </c>
      <c r="B314" s="1" t="n">
        <v>43642</v>
      </c>
      <c r="C314" s="1" t="n">
        <v>45831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32083-2019</t>
        </is>
      </c>
      <c r="B315" s="1" t="n">
        <v>43642</v>
      </c>
      <c r="C315" s="1" t="n">
        <v>45831</v>
      </c>
      <c r="D315" t="inlineStr">
        <is>
          <t>VÄSTERBOTTENS LÄN</t>
        </is>
      </c>
      <c r="E315" t="inlineStr">
        <is>
          <t>LYCKSELE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31876-2019</t>
        </is>
      </c>
      <c r="B316" s="1" t="n">
        <v>43642</v>
      </c>
      <c r="C316" s="1" t="n">
        <v>45831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32074-2019</t>
        </is>
      </c>
      <c r="B317" s="1" t="n">
        <v>43642</v>
      </c>
      <c r="C317" s="1" t="n">
        <v>45831</v>
      </c>
      <c r="D317" t="inlineStr">
        <is>
          <t>VÄSTERBOTTENS LÄN</t>
        </is>
      </c>
      <c r="E317" t="inlineStr">
        <is>
          <t>LYCKSELE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33203-2019</t>
        </is>
      </c>
      <c r="B318" s="1" t="n">
        <v>43649</v>
      </c>
      <c r="C318" s="1" t="n">
        <v>45831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20.2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34852-2019</t>
        </is>
      </c>
      <c r="B319" s="1" t="n">
        <v>43649</v>
      </c>
      <c r="C319" s="1" t="n">
        <v>45831</v>
      </c>
      <c r="D319" t="inlineStr">
        <is>
          <t>VÄSTERBOTTENS LÄN</t>
        </is>
      </c>
      <c r="E319" t="inlineStr">
        <is>
          <t>LYCKSELE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33414-2019</t>
        </is>
      </c>
      <c r="B320" s="1" t="n">
        <v>43650</v>
      </c>
      <c r="C320" s="1" t="n">
        <v>45831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33810-2019</t>
        </is>
      </c>
      <c r="B321" s="1" t="n">
        <v>43651</v>
      </c>
      <c r="C321" s="1" t="n">
        <v>45831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18.9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34249-2019</t>
        </is>
      </c>
      <c r="B322" s="1" t="n">
        <v>43655</v>
      </c>
      <c r="C322" s="1" t="n">
        <v>45831</v>
      </c>
      <c r="D322" t="inlineStr">
        <is>
          <t>VÄSTERBOTTENS LÄN</t>
        </is>
      </c>
      <c r="E322" t="inlineStr">
        <is>
          <t>LYCKSELE</t>
        </is>
      </c>
      <c r="G322" t="n">
        <v>13.4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36154-2019</t>
        </is>
      </c>
      <c r="B323" s="1" t="n">
        <v>43658</v>
      </c>
      <c r="C323" s="1" t="n">
        <v>45831</v>
      </c>
      <c r="D323" t="inlineStr">
        <is>
          <t>VÄSTERBOTTENS LÄN</t>
        </is>
      </c>
      <c r="E323" t="inlineStr">
        <is>
          <t>LYCKSELE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35091-2019</t>
        </is>
      </c>
      <c r="B324" s="1" t="n">
        <v>43661</v>
      </c>
      <c r="C324" s="1" t="n">
        <v>45831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35092-2019</t>
        </is>
      </c>
      <c r="B325" s="1" t="n">
        <v>43661</v>
      </c>
      <c r="C325" s="1" t="n">
        <v>45831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37162-2019</t>
        </is>
      </c>
      <c r="B326" s="1" t="n">
        <v>43677</v>
      </c>
      <c r="C326" s="1" t="n">
        <v>45831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38551-2019</t>
        </is>
      </c>
      <c r="B327" s="1" t="n">
        <v>43685</v>
      </c>
      <c r="C327" s="1" t="n">
        <v>45831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16.2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38800-2019</t>
        </is>
      </c>
      <c r="B328" s="1" t="n">
        <v>43688</v>
      </c>
      <c r="C328" s="1" t="n">
        <v>45831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39373-2019</t>
        </is>
      </c>
      <c r="B329" s="1" t="n">
        <v>43690</v>
      </c>
      <c r="C329" s="1" t="n">
        <v>45831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39201-2019</t>
        </is>
      </c>
      <c r="B330" s="1" t="n">
        <v>43690</v>
      </c>
      <c r="C330" s="1" t="n">
        <v>45831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41150-2019</t>
        </is>
      </c>
      <c r="B331" s="1" t="n">
        <v>43691</v>
      </c>
      <c r="C331" s="1" t="n">
        <v>45831</v>
      </c>
      <c r="D331" t="inlineStr">
        <is>
          <t>VÄSTERBOTTENS LÄN</t>
        </is>
      </c>
      <c r="E331" t="inlineStr">
        <is>
          <t>LYCKSELE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40310-2019</t>
        </is>
      </c>
      <c r="B332" s="1" t="n">
        <v>43696</v>
      </c>
      <c r="C332" s="1" t="n">
        <v>45831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41375-2019</t>
        </is>
      </c>
      <c r="B333" s="1" t="n">
        <v>43696</v>
      </c>
      <c r="C333" s="1" t="n">
        <v>45831</v>
      </c>
      <c r="D333" t="inlineStr">
        <is>
          <t>VÄSTERBOTTENS LÄN</t>
        </is>
      </c>
      <c r="E333" t="inlineStr">
        <is>
          <t>LYCKSELE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42373-2019</t>
        </is>
      </c>
      <c r="B334" s="1" t="n">
        <v>43703</v>
      </c>
      <c r="C334" s="1" t="n">
        <v>45831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43465-2019</t>
        </is>
      </c>
      <c r="B335" s="1" t="n">
        <v>43703</v>
      </c>
      <c r="C335" s="1" t="n">
        <v>45831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43480-2019</t>
        </is>
      </c>
      <c r="B336" s="1" t="n">
        <v>43703</v>
      </c>
      <c r="C336" s="1" t="n">
        <v>45831</v>
      </c>
      <c r="D336" t="inlineStr">
        <is>
          <t>VÄSTERBOTTENS LÄN</t>
        </is>
      </c>
      <c r="E336" t="inlineStr">
        <is>
          <t>LYCKSELE</t>
        </is>
      </c>
      <c r="G336" t="n">
        <v>13.6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42368-2019</t>
        </is>
      </c>
      <c r="B337" s="1" t="n">
        <v>43703</v>
      </c>
      <c r="C337" s="1" t="n">
        <v>45831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42588-2019</t>
        </is>
      </c>
      <c r="B338" s="1" t="n">
        <v>43704</v>
      </c>
      <c r="C338" s="1" t="n">
        <v>45831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44031-2019</t>
        </is>
      </c>
      <c r="B339" s="1" t="n">
        <v>43704</v>
      </c>
      <c r="C339" s="1" t="n">
        <v>45831</v>
      </c>
      <c r="D339" t="inlineStr">
        <is>
          <t>VÄSTERBOTTENS LÄN</t>
        </is>
      </c>
      <c r="E339" t="inlineStr">
        <is>
          <t>LYCKSELE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44858-2019</t>
        </is>
      </c>
      <c r="B340" s="1" t="n">
        <v>43707</v>
      </c>
      <c r="C340" s="1" t="n">
        <v>45831</v>
      </c>
      <c r="D340" t="inlineStr">
        <is>
          <t>VÄSTERBOTTENS LÄN</t>
        </is>
      </c>
      <c r="E340" t="inlineStr">
        <is>
          <t>LYCKSELE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44024-2019</t>
        </is>
      </c>
      <c r="B341" s="1" t="n">
        <v>43710</v>
      </c>
      <c r="C341" s="1" t="n">
        <v>45831</v>
      </c>
      <c r="D341" t="inlineStr">
        <is>
          <t>VÄSTERBOTTENS LÄN</t>
        </is>
      </c>
      <c r="E341" t="inlineStr">
        <is>
          <t>LYCKSELE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44590-2019</t>
        </is>
      </c>
      <c r="B342" s="1" t="n">
        <v>43711</v>
      </c>
      <c r="C342" s="1" t="n">
        <v>45831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46252-2019</t>
        </is>
      </c>
      <c r="B343" s="1" t="n">
        <v>43712</v>
      </c>
      <c r="C343" s="1" t="n">
        <v>45831</v>
      </c>
      <c r="D343" t="inlineStr">
        <is>
          <t>VÄSTERBOTTENS LÄN</t>
        </is>
      </c>
      <c r="E343" t="inlineStr">
        <is>
          <t>LYCKSELE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45227-2019</t>
        </is>
      </c>
      <c r="B344" s="1" t="n">
        <v>43713</v>
      </c>
      <c r="C344" s="1" t="n">
        <v>45831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45264-2019</t>
        </is>
      </c>
      <c r="B345" s="1" t="n">
        <v>43713</v>
      </c>
      <c r="C345" s="1" t="n">
        <v>45831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45228-2019</t>
        </is>
      </c>
      <c r="B346" s="1" t="n">
        <v>43713</v>
      </c>
      <c r="C346" s="1" t="n">
        <v>45831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46271-2019</t>
        </is>
      </c>
      <c r="B347" s="1" t="n">
        <v>43713</v>
      </c>
      <c r="C347" s="1" t="n">
        <v>45831</v>
      </c>
      <c r="D347" t="inlineStr">
        <is>
          <t>VÄSTERBOTTENS LÄN</t>
        </is>
      </c>
      <c r="E347" t="inlineStr">
        <is>
          <t>LYCKSELE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46284-2019</t>
        </is>
      </c>
      <c r="B348" s="1" t="n">
        <v>43713</v>
      </c>
      <c r="C348" s="1" t="n">
        <v>45831</v>
      </c>
      <c r="D348" t="inlineStr">
        <is>
          <t>VÄSTERBOTTENS LÄN</t>
        </is>
      </c>
      <c r="E348" t="inlineStr">
        <is>
          <t>LYCKSELE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45758-2019</t>
        </is>
      </c>
      <c r="B349" s="1" t="n">
        <v>43717</v>
      </c>
      <c r="C349" s="1" t="n">
        <v>45831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47062-2019</t>
        </is>
      </c>
      <c r="B350" s="1" t="n">
        <v>43720</v>
      </c>
      <c r="C350" s="1" t="n">
        <v>45831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10.9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49112-2019</t>
        </is>
      </c>
      <c r="B351" s="1" t="n">
        <v>43731</v>
      </c>
      <c r="C351" s="1" t="n">
        <v>45831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50603-2019</t>
        </is>
      </c>
      <c r="B352" s="1" t="n">
        <v>43735</v>
      </c>
      <c r="C352" s="1" t="n">
        <v>45831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51144-2019</t>
        </is>
      </c>
      <c r="B353" s="1" t="n">
        <v>43739</v>
      </c>
      <c r="C353" s="1" t="n">
        <v>45831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Kyrkan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51152-2019</t>
        </is>
      </c>
      <c r="B354" s="1" t="n">
        <v>43739</v>
      </c>
      <c r="C354" s="1" t="n">
        <v>45831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Kyrkan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51135-2019</t>
        </is>
      </c>
      <c r="B355" s="1" t="n">
        <v>43739</v>
      </c>
      <c r="C355" s="1" t="n">
        <v>45831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Kyrkan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51155-2019</t>
        </is>
      </c>
      <c r="B356" s="1" t="n">
        <v>43739</v>
      </c>
      <c r="C356" s="1" t="n">
        <v>45831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Kyrkan</t>
        </is>
      </c>
      <c r="G356" t="n">
        <v>11.3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52437-2019</t>
        </is>
      </c>
      <c r="B357" s="1" t="n">
        <v>43745</v>
      </c>
      <c r="C357" s="1" t="n">
        <v>45831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Kyrkan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52630-2019</t>
        </is>
      </c>
      <c r="B358" s="1" t="n">
        <v>43746</v>
      </c>
      <c r="C358" s="1" t="n">
        <v>45831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52621-2019</t>
        </is>
      </c>
      <c r="B359" s="1" t="n">
        <v>43746</v>
      </c>
      <c r="C359" s="1" t="n">
        <v>45831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55396-2019</t>
        </is>
      </c>
      <c r="B360" s="1" t="n">
        <v>43758</v>
      </c>
      <c r="C360" s="1" t="n">
        <v>45831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56685-2019</t>
        </is>
      </c>
      <c r="B361" s="1" t="n">
        <v>43759</v>
      </c>
      <c r="C361" s="1" t="n">
        <v>45831</v>
      </c>
      <c r="D361" t="inlineStr">
        <is>
          <t>VÄSTERBOTTENS LÄN</t>
        </is>
      </c>
      <c r="E361" t="inlineStr">
        <is>
          <t>LYCKSELE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56679-2019</t>
        </is>
      </c>
      <c r="B362" s="1" t="n">
        <v>43759</v>
      </c>
      <c r="C362" s="1" t="n">
        <v>45831</v>
      </c>
      <c r="D362" t="inlineStr">
        <is>
          <t>VÄSTERBOTTENS LÄN</t>
        </is>
      </c>
      <c r="E362" t="inlineStr">
        <is>
          <t>LYCKSELE</t>
        </is>
      </c>
      <c r="G362" t="n">
        <v>10.3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56191-2019</t>
        </is>
      </c>
      <c r="B363" s="1" t="n">
        <v>43761</v>
      </c>
      <c r="C363" s="1" t="n">
        <v>45831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SCA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57972-2019</t>
        </is>
      </c>
      <c r="B364" s="1" t="n">
        <v>43762</v>
      </c>
      <c r="C364" s="1" t="n">
        <v>45831</v>
      </c>
      <c r="D364" t="inlineStr">
        <is>
          <t>VÄSTERBOTTENS LÄN</t>
        </is>
      </c>
      <c r="E364" t="inlineStr">
        <is>
          <t>LYCKSELE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58655-2019</t>
        </is>
      </c>
      <c r="B365" s="1" t="n">
        <v>43767</v>
      </c>
      <c r="C365" s="1" t="n">
        <v>45831</v>
      </c>
      <c r="D365" t="inlineStr">
        <is>
          <t>VÄSTERBOTTENS LÄN</t>
        </is>
      </c>
      <c r="E365" t="inlineStr">
        <is>
          <t>LYCKSELE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58648-2019</t>
        </is>
      </c>
      <c r="B366" s="1" t="n">
        <v>43768</v>
      </c>
      <c r="C366" s="1" t="n">
        <v>45831</v>
      </c>
      <c r="D366" t="inlineStr">
        <is>
          <t>VÄSTERBOTTENS LÄN</t>
        </is>
      </c>
      <c r="E366" t="inlineStr">
        <is>
          <t>LYCKSELE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57838-2019</t>
        </is>
      </c>
      <c r="B367" s="1" t="n">
        <v>43768</v>
      </c>
      <c r="C367" s="1" t="n">
        <v>45831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59632-2019</t>
        </is>
      </c>
      <c r="B368" s="1" t="n">
        <v>43776</v>
      </c>
      <c r="C368" s="1" t="n">
        <v>45831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60438-2019</t>
        </is>
      </c>
      <c r="B369" s="1" t="n">
        <v>43780</v>
      </c>
      <c r="C369" s="1" t="n">
        <v>45831</v>
      </c>
      <c r="D369" t="inlineStr">
        <is>
          <t>VÄSTERBOTTENS LÄN</t>
        </is>
      </c>
      <c r="E369" t="inlineStr">
        <is>
          <t>LYCKSELE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60567-2019</t>
        </is>
      </c>
      <c r="B370" s="1" t="n">
        <v>43781</v>
      </c>
      <c r="C370" s="1" t="n">
        <v>45831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62147-2019</t>
        </is>
      </c>
      <c r="B371" s="1" t="n">
        <v>43787</v>
      </c>
      <c r="C371" s="1" t="n">
        <v>45831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63313-2019</t>
        </is>
      </c>
      <c r="B372" s="1" t="n">
        <v>43787</v>
      </c>
      <c r="C372" s="1" t="n">
        <v>45831</v>
      </c>
      <c r="D372" t="inlineStr">
        <is>
          <t>VÄSTERBOTTENS LÄN</t>
        </is>
      </c>
      <c r="E372" t="inlineStr">
        <is>
          <t>LYCKSELE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63305-2019</t>
        </is>
      </c>
      <c r="B373" s="1" t="n">
        <v>43787</v>
      </c>
      <c r="C373" s="1" t="n">
        <v>45831</v>
      </c>
      <c r="D373" t="inlineStr">
        <is>
          <t>VÄSTERBOTTENS LÄN</t>
        </is>
      </c>
      <c r="E373" t="inlineStr">
        <is>
          <t>LYCKSELE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62507-2019</t>
        </is>
      </c>
      <c r="B374" s="1" t="n">
        <v>43788</v>
      </c>
      <c r="C374" s="1" t="n">
        <v>45831</v>
      </c>
      <c r="D374" t="inlineStr">
        <is>
          <t>VÄSTERBOTTENS LÄN</t>
        </is>
      </c>
      <c r="E374" t="inlineStr">
        <is>
          <t>LYCKSELE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63506-2019</t>
        </is>
      </c>
      <c r="B375" s="1" t="n">
        <v>43788</v>
      </c>
      <c r="C375" s="1" t="n">
        <v>45831</v>
      </c>
      <c r="D375" t="inlineStr">
        <is>
          <t>VÄSTERBOTTENS LÄN</t>
        </is>
      </c>
      <c r="E375" t="inlineStr">
        <is>
          <t>LYCKSELE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63236-2019</t>
        </is>
      </c>
      <c r="B376" s="1" t="n">
        <v>43791</v>
      </c>
      <c r="C376" s="1" t="n">
        <v>45831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64371-2019</t>
        </is>
      </c>
      <c r="B377" s="1" t="n">
        <v>43797</v>
      </c>
      <c r="C377" s="1" t="n">
        <v>45831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64478-2019</t>
        </is>
      </c>
      <c r="B378" s="1" t="n">
        <v>43797</v>
      </c>
      <c r="C378" s="1" t="n">
        <v>45831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67650-2019</t>
        </is>
      </c>
      <c r="B379" s="1" t="n">
        <v>43809</v>
      </c>
      <c r="C379" s="1" t="n">
        <v>45831</v>
      </c>
      <c r="D379" t="inlineStr">
        <is>
          <t>VÄSTERBOTTENS LÄN</t>
        </is>
      </c>
      <c r="E379" t="inlineStr">
        <is>
          <t>LYCKSELE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67652-2019</t>
        </is>
      </c>
      <c r="B380" s="1" t="n">
        <v>43809</v>
      </c>
      <c r="C380" s="1" t="n">
        <v>45831</v>
      </c>
      <c r="D380" t="inlineStr">
        <is>
          <t>VÄSTERBOTTENS LÄN</t>
        </is>
      </c>
      <c r="E380" t="inlineStr">
        <is>
          <t>LYCKSELE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67636-2019</t>
        </is>
      </c>
      <c r="B381" s="1" t="n">
        <v>43809</v>
      </c>
      <c r="C381" s="1" t="n">
        <v>45831</v>
      </c>
      <c r="D381" t="inlineStr">
        <is>
          <t>VÄSTERBOTTENS LÄN</t>
        </is>
      </c>
      <c r="E381" t="inlineStr">
        <is>
          <t>LYCKSELE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69024-2019</t>
        </is>
      </c>
      <c r="B382" s="1" t="n">
        <v>43815</v>
      </c>
      <c r="C382" s="1" t="n">
        <v>45831</v>
      </c>
      <c r="D382" t="inlineStr">
        <is>
          <t>VÄSTERBOTTENS LÄN</t>
        </is>
      </c>
      <c r="E382" t="inlineStr">
        <is>
          <t>LYCKSELE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67949-2019</t>
        </is>
      </c>
      <c r="B383" s="1" t="n">
        <v>43816</v>
      </c>
      <c r="C383" s="1" t="n">
        <v>45831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67935-2019</t>
        </is>
      </c>
      <c r="B384" s="1" t="n">
        <v>43816</v>
      </c>
      <c r="C384" s="1" t="n">
        <v>45831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68185-2019</t>
        </is>
      </c>
      <c r="B385" s="1" t="n">
        <v>43817</v>
      </c>
      <c r="C385" s="1" t="n">
        <v>45831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68179-2019</t>
        </is>
      </c>
      <c r="B386" s="1" t="n">
        <v>43817</v>
      </c>
      <c r="C386" s="1" t="n">
        <v>45831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68172-2019</t>
        </is>
      </c>
      <c r="B387" s="1" t="n">
        <v>43817</v>
      </c>
      <c r="C387" s="1" t="n">
        <v>45831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23.7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68194-2019</t>
        </is>
      </c>
      <c r="B388" s="1" t="n">
        <v>43817</v>
      </c>
      <c r="C388" s="1" t="n">
        <v>45831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68614-2019</t>
        </is>
      </c>
      <c r="B389" s="1" t="n">
        <v>43818</v>
      </c>
      <c r="C389" s="1" t="n">
        <v>45831</v>
      </c>
      <c r="D389" t="inlineStr">
        <is>
          <t>VÄSTERBOTTENS LÄN</t>
        </is>
      </c>
      <c r="E389" t="inlineStr">
        <is>
          <t>LYCKSELE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1716-2020</t>
        </is>
      </c>
      <c r="B390" s="1" t="n">
        <v>43833</v>
      </c>
      <c r="C390" s="1" t="n">
        <v>45831</v>
      </c>
      <c r="D390" t="inlineStr">
        <is>
          <t>VÄSTERBOTTENS LÄN</t>
        </is>
      </c>
      <c r="E390" t="inlineStr">
        <is>
          <t>LYCKSELE</t>
        </is>
      </c>
      <c r="G390" t="n">
        <v>17.4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1691-2020</t>
        </is>
      </c>
      <c r="B391" s="1" t="n">
        <v>43833</v>
      </c>
      <c r="C391" s="1" t="n">
        <v>45831</v>
      </c>
      <c r="D391" t="inlineStr">
        <is>
          <t>VÄSTERBOTTENS LÄN</t>
        </is>
      </c>
      <c r="E391" t="inlineStr">
        <is>
          <t>LYCKSELE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954-2020</t>
        </is>
      </c>
      <c r="B392" s="1" t="n">
        <v>43839</v>
      </c>
      <c r="C392" s="1" t="n">
        <v>45831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1108-2020</t>
        </is>
      </c>
      <c r="B393" s="1" t="n">
        <v>43840</v>
      </c>
      <c r="C393" s="1" t="n">
        <v>45831</v>
      </c>
      <c r="D393" t="inlineStr">
        <is>
          <t>VÄSTERBOTTENS LÄN</t>
        </is>
      </c>
      <c r="E393" t="inlineStr">
        <is>
          <t>LYCKSELE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1142-2020</t>
        </is>
      </c>
      <c r="B394" s="1" t="n">
        <v>43840</v>
      </c>
      <c r="C394" s="1" t="n">
        <v>45831</v>
      </c>
      <c r="D394" t="inlineStr">
        <is>
          <t>VÄSTERBOTTENS LÄN</t>
        </is>
      </c>
      <c r="E394" t="inlineStr">
        <is>
          <t>LYCKSELE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1133-2020</t>
        </is>
      </c>
      <c r="B395" s="1" t="n">
        <v>43840</v>
      </c>
      <c r="C395" s="1" t="n">
        <v>45831</v>
      </c>
      <c r="D395" t="inlineStr">
        <is>
          <t>VÄSTERBOTTENS LÄN</t>
        </is>
      </c>
      <c r="E395" t="inlineStr">
        <is>
          <t>LYCKSELE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1270-2020</t>
        </is>
      </c>
      <c r="B396" s="1" t="n">
        <v>43841</v>
      </c>
      <c r="C396" s="1" t="n">
        <v>45831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Naturvårdsverket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3620-2020</t>
        </is>
      </c>
      <c r="B397" s="1" t="n">
        <v>43845</v>
      </c>
      <c r="C397" s="1" t="n">
        <v>45831</v>
      </c>
      <c r="D397" t="inlineStr">
        <is>
          <t>VÄSTERBOTTENS LÄN</t>
        </is>
      </c>
      <c r="E397" t="inlineStr">
        <is>
          <t>LYCKSELE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4041-2020</t>
        </is>
      </c>
      <c r="B398" s="1" t="n">
        <v>43857</v>
      </c>
      <c r="C398" s="1" t="n">
        <v>45831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5501-2020</t>
        </is>
      </c>
      <c r="B399" s="1" t="n">
        <v>43858</v>
      </c>
      <c r="C399" s="1" t="n">
        <v>45831</v>
      </c>
      <c r="D399" t="inlineStr">
        <is>
          <t>VÄSTERBOTTENS LÄN</t>
        </is>
      </c>
      <c r="E399" t="inlineStr">
        <is>
          <t>LYCKSELE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6097-2020</t>
        </is>
      </c>
      <c r="B400" s="1" t="n">
        <v>43864</v>
      </c>
      <c r="C400" s="1" t="n">
        <v>45831</v>
      </c>
      <c r="D400" t="inlineStr">
        <is>
          <t>VÄSTERBOTTENS LÄN</t>
        </is>
      </c>
      <c r="E400" t="inlineStr">
        <is>
          <t>LYCKSELE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7618-2020</t>
        </is>
      </c>
      <c r="B401" s="1" t="n">
        <v>43871</v>
      </c>
      <c r="C401" s="1" t="n">
        <v>45831</v>
      </c>
      <c r="D401" t="inlineStr">
        <is>
          <t>VÄSTERBOTTENS LÄN</t>
        </is>
      </c>
      <c r="E401" t="inlineStr">
        <is>
          <t>LYCKSELE</t>
        </is>
      </c>
      <c r="G401" t="n">
        <v>17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7632-2020</t>
        </is>
      </c>
      <c r="B402" s="1" t="n">
        <v>43871</v>
      </c>
      <c r="C402" s="1" t="n">
        <v>45831</v>
      </c>
      <c r="D402" t="inlineStr">
        <is>
          <t>VÄSTERBOTTENS LÄN</t>
        </is>
      </c>
      <c r="E402" t="inlineStr">
        <is>
          <t>LYCKSELE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9994-2020</t>
        </is>
      </c>
      <c r="B403" s="1" t="n">
        <v>43882</v>
      </c>
      <c r="C403" s="1" t="n">
        <v>45831</v>
      </c>
      <c r="D403" t="inlineStr">
        <is>
          <t>VÄSTERBOTTENS LÄN</t>
        </is>
      </c>
      <c r="E403" t="inlineStr">
        <is>
          <t>LYCKSELE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14940-2020</t>
        </is>
      </c>
      <c r="B404" s="1" t="n">
        <v>43910</v>
      </c>
      <c r="C404" s="1" t="n">
        <v>45831</v>
      </c>
      <c r="D404" t="inlineStr">
        <is>
          <t>VÄSTERBOTTENS LÄN</t>
        </is>
      </c>
      <c r="E404" t="inlineStr">
        <is>
          <t>LYCKSELE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17137-2020</t>
        </is>
      </c>
      <c r="B405" s="1" t="n">
        <v>43922</v>
      </c>
      <c r="C405" s="1" t="n">
        <v>45831</v>
      </c>
      <c r="D405" t="inlineStr">
        <is>
          <t>VÄSTERBOTTENS LÄN</t>
        </is>
      </c>
      <c r="E405" t="inlineStr">
        <is>
          <t>LYCKSELE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17126-2020</t>
        </is>
      </c>
      <c r="B406" s="1" t="n">
        <v>43922</v>
      </c>
      <c r="C406" s="1" t="n">
        <v>45831</v>
      </c>
      <c r="D406" t="inlineStr">
        <is>
          <t>VÄSTERBOTTENS LÄN</t>
        </is>
      </c>
      <c r="E406" t="inlineStr">
        <is>
          <t>LYCKSELE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18609-2020</t>
        </is>
      </c>
      <c r="B407" s="1" t="n">
        <v>43929</v>
      </c>
      <c r="C407" s="1" t="n">
        <v>45831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SCA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18898-2020</t>
        </is>
      </c>
      <c r="B408" s="1" t="n">
        <v>43930</v>
      </c>
      <c r="C408" s="1" t="n">
        <v>45831</v>
      </c>
      <c r="D408" t="inlineStr">
        <is>
          <t>VÄSTERBOTTENS LÄN</t>
        </is>
      </c>
      <c r="E408" t="inlineStr">
        <is>
          <t>LYCKSELE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20383-2020</t>
        </is>
      </c>
      <c r="B409" s="1" t="n">
        <v>43945</v>
      </c>
      <c r="C409" s="1" t="n">
        <v>45831</v>
      </c>
      <c r="D409" t="inlineStr">
        <is>
          <t>VÄSTERBOTTENS LÄN</t>
        </is>
      </c>
      <c r="E409" t="inlineStr">
        <is>
          <t>LYCKSELE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20445-2020</t>
        </is>
      </c>
      <c r="B410" s="1" t="n">
        <v>43945</v>
      </c>
      <c r="C410" s="1" t="n">
        <v>45831</v>
      </c>
      <c r="D410" t="inlineStr">
        <is>
          <t>VÄSTERBOTTENS LÄN</t>
        </is>
      </c>
      <c r="E410" t="inlineStr">
        <is>
          <t>LYCKSELE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20388-2020</t>
        </is>
      </c>
      <c r="B411" s="1" t="n">
        <v>43945</v>
      </c>
      <c r="C411" s="1" t="n">
        <v>45831</v>
      </c>
      <c r="D411" t="inlineStr">
        <is>
          <t>VÄSTERBOTTENS LÄN</t>
        </is>
      </c>
      <c r="E411" t="inlineStr">
        <is>
          <t>LYCKSELE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25258-2020</t>
        </is>
      </c>
      <c r="B412" s="1" t="n">
        <v>43980</v>
      </c>
      <c r="C412" s="1" t="n">
        <v>45831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25608-2020</t>
        </is>
      </c>
      <c r="B413" s="1" t="n">
        <v>43983</v>
      </c>
      <c r="C413" s="1" t="n">
        <v>45831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25916-2020</t>
        </is>
      </c>
      <c r="B414" s="1" t="n">
        <v>43984</v>
      </c>
      <c r="C414" s="1" t="n">
        <v>45831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26096-2020</t>
        </is>
      </c>
      <c r="B415" s="1" t="n">
        <v>43985</v>
      </c>
      <c r="C415" s="1" t="n">
        <v>45831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26082-2020</t>
        </is>
      </c>
      <c r="B416" s="1" t="n">
        <v>43985</v>
      </c>
      <c r="C416" s="1" t="n">
        <v>45831</v>
      </c>
      <c r="D416" t="inlineStr">
        <is>
          <t>VÄSTERBOTTENS LÄN</t>
        </is>
      </c>
      <c r="E416" t="inlineStr">
        <is>
          <t>LYCKSELE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27094-2020</t>
        </is>
      </c>
      <c r="B417" s="1" t="n">
        <v>43985</v>
      </c>
      <c r="C417" s="1" t="n">
        <v>45831</v>
      </c>
      <c r="D417" t="inlineStr">
        <is>
          <t>VÄSTERBOTTENS LÄN</t>
        </is>
      </c>
      <c r="E417" t="inlineStr">
        <is>
          <t>LYCKSELE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26457-2020</t>
        </is>
      </c>
      <c r="B418" s="1" t="n">
        <v>43987</v>
      </c>
      <c r="C418" s="1" t="n">
        <v>45831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26780-2020</t>
        </is>
      </c>
      <c r="B419" s="1" t="n">
        <v>43990</v>
      </c>
      <c r="C419" s="1" t="n">
        <v>45831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30386-2020</t>
        </is>
      </c>
      <c r="B420" s="1" t="n">
        <v>44007</v>
      </c>
      <c r="C420" s="1" t="n">
        <v>45831</v>
      </c>
      <c r="D420" t="inlineStr">
        <is>
          <t>VÄSTERBOTTENS LÄN</t>
        </is>
      </c>
      <c r="E420" t="inlineStr">
        <is>
          <t>LYCKSELE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30964-2020</t>
        </is>
      </c>
      <c r="B421" s="1" t="n">
        <v>44011</v>
      </c>
      <c r="C421" s="1" t="n">
        <v>45831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31743-2020</t>
        </is>
      </c>
      <c r="B422" s="1" t="n">
        <v>44014</v>
      </c>
      <c r="C422" s="1" t="n">
        <v>45831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32176-2020</t>
        </is>
      </c>
      <c r="B423" s="1" t="n">
        <v>44015</v>
      </c>
      <c r="C423" s="1" t="n">
        <v>45831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32188-2020</t>
        </is>
      </c>
      <c r="B424" s="1" t="n">
        <v>44015</v>
      </c>
      <c r="C424" s="1" t="n">
        <v>45831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33082-2020</t>
        </is>
      </c>
      <c r="B425" s="1" t="n">
        <v>44021</v>
      </c>
      <c r="C425" s="1" t="n">
        <v>45831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33109-2020</t>
        </is>
      </c>
      <c r="B426" s="1" t="n">
        <v>44021</v>
      </c>
      <c r="C426" s="1" t="n">
        <v>45831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33347-2020</t>
        </is>
      </c>
      <c r="B427" s="1" t="n">
        <v>44021</v>
      </c>
      <c r="C427" s="1" t="n">
        <v>45831</v>
      </c>
      <c r="D427" t="inlineStr">
        <is>
          <t>VÄSTERBOTTENS LÄN</t>
        </is>
      </c>
      <c r="E427" t="inlineStr">
        <is>
          <t>LYCKSELE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33487-2020</t>
        </is>
      </c>
      <c r="B428" s="1" t="n">
        <v>44024</v>
      </c>
      <c r="C428" s="1" t="n">
        <v>45831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33484-2020</t>
        </is>
      </c>
      <c r="B429" s="1" t="n">
        <v>44024</v>
      </c>
      <c r="C429" s="1" t="n">
        <v>45831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34151-2020</t>
        </is>
      </c>
      <c r="B430" s="1" t="n">
        <v>44027</v>
      </c>
      <c r="C430" s="1" t="n">
        <v>45831</v>
      </c>
      <c r="D430" t="inlineStr">
        <is>
          <t>VÄSTERBOTTENS LÄN</t>
        </is>
      </c>
      <c r="E430" t="inlineStr">
        <is>
          <t>LYCKSELE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33841-2020</t>
        </is>
      </c>
      <c r="B431" s="1" t="n">
        <v>44027</v>
      </c>
      <c r="C431" s="1" t="n">
        <v>45831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13.1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34060-2020</t>
        </is>
      </c>
      <c r="B432" s="1" t="n">
        <v>44028</v>
      </c>
      <c r="C432" s="1" t="n">
        <v>45831</v>
      </c>
      <c r="D432" t="inlineStr">
        <is>
          <t>VÄSTERBOTTENS LÄN</t>
        </is>
      </c>
      <c r="E432" t="inlineStr">
        <is>
          <t>LYCKSELE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34479-2020</t>
        </is>
      </c>
      <c r="B433" s="1" t="n">
        <v>44032</v>
      </c>
      <c r="C433" s="1" t="n">
        <v>45831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Naturvårdsverket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34770-2020</t>
        </is>
      </c>
      <c r="B434" s="1" t="n">
        <v>44035</v>
      </c>
      <c r="C434" s="1" t="n">
        <v>45831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34763-2020</t>
        </is>
      </c>
      <c r="B435" s="1" t="n">
        <v>44035</v>
      </c>
      <c r="C435" s="1" t="n">
        <v>45831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37227-2020</t>
        </is>
      </c>
      <c r="B436" s="1" t="n">
        <v>44054</v>
      </c>
      <c r="C436" s="1" t="n">
        <v>45831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37978-2020</t>
        </is>
      </c>
      <c r="B437" s="1" t="n">
        <v>44057</v>
      </c>
      <c r="C437" s="1" t="n">
        <v>45831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38067-2020</t>
        </is>
      </c>
      <c r="B438" s="1" t="n">
        <v>44057</v>
      </c>
      <c r="C438" s="1" t="n">
        <v>45831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38944-2020</t>
        </is>
      </c>
      <c r="B439" s="1" t="n">
        <v>44062</v>
      </c>
      <c r="C439" s="1" t="n">
        <v>45831</v>
      </c>
      <c r="D439" t="inlineStr">
        <is>
          <t>VÄSTERBOTTENS LÄN</t>
        </is>
      </c>
      <c r="E439" t="inlineStr">
        <is>
          <t>LYCKSELE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38980-2020</t>
        </is>
      </c>
      <c r="B440" s="1" t="n">
        <v>44062</v>
      </c>
      <c r="C440" s="1" t="n">
        <v>45831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40355-2020</t>
        </is>
      </c>
      <c r="B441" s="1" t="n">
        <v>44067</v>
      </c>
      <c r="C441" s="1" t="n">
        <v>45831</v>
      </c>
      <c r="D441" t="inlineStr">
        <is>
          <t>VÄSTERBOTTENS LÄN</t>
        </is>
      </c>
      <c r="E441" t="inlineStr">
        <is>
          <t>LYCKSELE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43063-2020</t>
        </is>
      </c>
      <c r="B442" s="1" t="n">
        <v>44078</v>
      </c>
      <c r="C442" s="1" t="n">
        <v>45831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44041-2020</t>
        </is>
      </c>
      <c r="B443" s="1" t="n">
        <v>44081</v>
      </c>
      <c r="C443" s="1" t="n">
        <v>45831</v>
      </c>
      <c r="D443" t="inlineStr">
        <is>
          <t>VÄSTERBOTTENS LÄN</t>
        </is>
      </c>
      <c r="E443" t="inlineStr">
        <is>
          <t>LYCKSELE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44198-2020</t>
        </is>
      </c>
      <c r="B444" s="1" t="n">
        <v>44083</v>
      </c>
      <c r="C444" s="1" t="n">
        <v>45831</v>
      </c>
      <c r="D444" t="inlineStr">
        <is>
          <t>VÄSTERBOTTENS LÄN</t>
        </is>
      </c>
      <c r="E444" t="inlineStr">
        <is>
          <t>LYCKSELE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44529-2020</t>
        </is>
      </c>
      <c r="B445" s="1" t="n">
        <v>44085</v>
      </c>
      <c r="C445" s="1" t="n">
        <v>45831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55.2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45974-2020</t>
        </is>
      </c>
      <c r="B446" s="1" t="n">
        <v>44091</v>
      </c>
      <c r="C446" s="1" t="n">
        <v>45831</v>
      </c>
      <c r="D446" t="inlineStr">
        <is>
          <t>VÄSTERBOTTENS LÄN</t>
        </is>
      </c>
      <c r="E446" t="inlineStr">
        <is>
          <t>LYCKSELE</t>
        </is>
      </c>
      <c r="G446" t="n">
        <v>14.1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46595-2020</t>
        </is>
      </c>
      <c r="B447" s="1" t="n">
        <v>44095</v>
      </c>
      <c r="C447" s="1" t="n">
        <v>45831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56.3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46632-2020</t>
        </is>
      </c>
      <c r="B448" s="1" t="n">
        <v>44095</v>
      </c>
      <c r="C448" s="1" t="n">
        <v>45831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46764-2020</t>
        </is>
      </c>
      <c r="B449" s="1" t="n">
        <v>44095</v>
      </c>
      <c r="C449" s="1" t="n">
        <v>45831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47487-2020</t>
        </is>
      </c>
      <c r="B450" s="1" t="n">
        <v>44098</v>
      </c>
      <c r="C450" s="1" t="n">
        <v>45831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48370-2020</t>
        </is>
      </c>
      <c r="B451" s="1" t="n">
        <v>44102</v>
      </c>
      <c r="C451" s="1" t="n">
        <v>45831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49378-2020</t>
        </is>
      </c>
      <c r="B452" s="1" t="n">
        <v>44105</v>
      </c>
      <c r="C452" s="1" t="n">
        <v>45831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49482-2020</t>
        </is>
      </c>
      <c r="B453" s="1" t="n">
        <v>44105</v>
      </c>
      <c r="C453" s="1" t="n">
        <v>45831</v>
      </c>
      <c r="D453" t="inlineStr">
        <is>
          <t>VÄSTERBOTTENS LÄN</t>
        </is>
      </c>
      <c r="E453" t="inlineStr">
        <is>
          <t>LYCKSELE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50218-2020</t>
        </is>
      </c>
      <c r="B454" s="1" t="n">
        <v>44109</v>
      </c>
      <c r="C454" s="1" t="n">
        <v>45831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50217-2020</t>
        </is>
      </c>
      <c r="B455" s="1" t="n">
        <v>44109</v>
      </c>
      <c r="C455" s="1" t="n">
        <v>45831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53053-2020</t>
        </is>
      </c>
      <c r="B456" s="1" t="n">
        <v>44120</v>
      </c>
      <c r="C456" s="1" t="n">
        <v>45831</v>
      </c>
      <c r="D456" t="inlineStr">
        <is>
          <t>VÄSTERBOTTENS LÄN</t>
        </is>
      </c>
      <c r="E456" t="inlineStr">
        <is>
          <t>LYCKSELE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53083-2020</t>
        </is>
      </c>
      <c r="B457" s="1" t="n">
        <v>44120</v>
      </c>
      <c r="C457" s="1" t="n">
        <v>45831</v>
      </c>
      <c r="D457" t="inlineStr">
        <is>
          <t>VÄSTERBOTTENS LÄN</t>
        </is>
      </c>
      <c r="E457" t="inlineStr">
        <is>
          <t>LYCKSELE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53074-2020</t>
        </is>
      </c>
      <c r="B458" s="1" t="n">
        <v>44120</v>
      </c>
      <c r="C458" s="1" t="n">
        <v>45831</v>
      </c>
      <c r="D458" t="inlineStr">
        <is>
          <t>VÄSTERBOTTENS LÄN</t>
        </is>
      </c>
      <c r="E458" t="inlineStr">
        <is>
          <t>LYCKSELE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53146-2020</t>
        </is>
      </c>
      <c r="B459" s="1" t="n">
        <v>44120</v>
      </c>
      <c r="C459" s="1" t="n">
        <v>45831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53180-2020</t>
        </is>
      </c>
      <c r="B460" s="1" t="n">
        <v>44120</v>
      </c>
      <c r="C460" s="1" t="n">
        <v>45831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53469-2020</t>
        </is>
      </c>
      <c r="B461" s="1" t="n">
        <v>44123</v>
      </c>
      <c r="C461" s="1" t="n">
        <v>45831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53446-2020</t>
        </is>
      </c>
      <c r="B462" s="1" t="n">
        <v>44123</v>
      </c>
      <c r="C462" s="1" t="n">
        <v>45831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54805-2020</t>
        </is>
      </c>
      <c r="B463" s="1" t="n">
        <v>44127</v>
      </c>
      <c r="C463" s="1" t="n">
        <v>45831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55782-2020</t>
        </is>
      </c>
      <c r="B464" s="1" t="n">
        <v>44132</v>
      </c>
      <c r="C464" s="1" t="n">
        <v>45831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57085-2020</t>
        </is>
      </c>
      <c r="B465" s="1" t="n">
        <v>44138</v>
      </c>
      <c r="C465" s="1" t="n">
        <v>45831</v>
      </c>
      <c r="D465" t="inlineStr">
        <is>
          <t>VÄSTERBOTTENS LÄN</t>
        </is>
      </c>
      <c r="E465" t="inlineStr">
        <is>
          <t>LYCKSELE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59029-2020</t>
        </is>
      </c>
      <c r="B466" s="1" t="n">
        <v>44147</v>
      </c>
      <c r="C466" s="1" t="n">
        <v>45831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59264-2020</t>
        </is>
      </c>
      <c r="B467" s="1" t="n">
        <v>44147</v>
      </c>
      <c r="C467" s="1" t="n">
        <v>45831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59261-2020</t>
        </is>
      </c>
      <c r="B468" s="1" t="n">
        <v>44147</v>
      </c>
      <c r="C468" s="1" t="n">
        <v>45831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59546-2020</t>
        </is>
      </c>
      <c r="B469" s="1" t="n">
        <v>44148</v>
      </c>
      <c r="C469" s="1" t="n">
        <v>45831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61634-2020</t>
        </is>
      </c>
      <c r="B470" s="1" t="n">
        <v>44158</v>
      </c>
      <c r="C470" s="1" t="n">
        <v>45831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61630-2020</t>
        </is>
      </c>
      <c r="B471" s="1" t="n">
        <v>44158</v>
      </c>
      <c r="C471" s="1" t="n">
        <v>45831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63037-2020</t>
        </is>
      </c>
      <c r="B472" s="1" t="n">
        <v>44162</v>
      </c>
      <c r="C472" s="1" t="n">
        <v>45831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20.8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63871-2020</t>
        </is>
      </c>
      <c r="B473" s="1" t="n">
        <v>44166</v>
      </c>
      <c r="C473" s="1" t="n">
        <v>45831</v>
      </c>
      <c r="D473" t="inlineStr">
        <is>
          <t>VÄSTERBOTTENS LÄN</t>
        </is>
      </c>
      <c r="E473" t="inlineStr">
        <is>
          <t>LYCKSELE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63878-2020</t>
        </is>
      </c>
      <c r="B474" s="1" t="n">
        <v>44166</v>
      </c>
      <c r="C474" s="1" t="n">
        <v>45831</v>
      </c>
      <c r="D474" t="inlineStr">
        <is>
          <t>VÄSTERBOTTENS LÄN</t>
        </is>
      </c>
      <c r="E474" t="inlineStr">
        <is>
          <t>LYCKSELE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68253-2020</t>
        </is>
      </c>
      <c r="B475" s="1" t="n">
        <v>44182</v>
      </c>
      <c r="C475" s="1" t="n">
        <v>45831</v>
      </c>
      <c r="D475" t="inlineStr">
        <is>
          <t>VÄSTERBOTTENS LÄN</t>
        </is>
      </c>
      <c r="E475" t="inlineStr">
        <is>
          <t>LYCKSELE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68405-2020</t>
        </is>
      </c>
      <c r="B476" s="1" t="n">
        <v>44182</v>
      </c>
      <c r="C476" s="1" t="n">
        <v>45831</v>
      </c>
      <c r="D476" t="inlineStr">
        <is>
          <t>VÄSTERBOTTENS LÄN</t>
        </is>
      </c>
      <c r="E476" t="inlineStr">
        <is>
          <t>LYCKSELE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68409-2020</t>
        </is>
      </c>
      <c r="B477" s="1" t="n">
        <v>44182</v>
      </c>
      <c r="C477" s="1" t="n">
        <v>45831</v>
      </c>
      <c r="D477" t="inlineStr">
        <is>
          <t>VÄSTERBOTTENS LÄN</t>
        </is>
      </c>
      <c r="E477" t="inlineStr">
        <is>
          <t>LYCKSELE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68510-2020</t>
        </is>
      </c>
      <c r="B478" s="1" t="n">
        <v>44183</v>
      </c>
      <c r="C478" s="1" t="n">
        <v>45831</v>
      </c>
      <c r="D478" t="inlineStr">
        <is>
          <t>VÄSTERBOTTENS LÄN</t>
        </is>
      </c>
      <c r="E478" t="inlineStr">
        <is>
          <t>LYCKSELE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441-2021</t>
        </is>
      </c>
      <c r="B479" s="1" t="n">
        <v>44201</v>
      </c>
      <c r="C479" s="1" t="n">
        <v>45831</v>
      </c>
      <c r="D479" t="inlineStr">
        <is>
          <t>VÄSTERBOTTENS LÄN</t>
        </is>
      </c>
      <c r="E479" t="inlineStr">
        <is>
          <t>LYCKSELE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5316-2021</t>
        </is>
      </c>
      <c r="B480" s="1" t="n">
        <v>44229</v>
      </c>
      <c r="C480" s="1" t="n">
        <v>45831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13911-2021</t>
        </is>
      </c>
      <c r="B481" s="1" t="n">
        <v>44277</v>
      </c>
      <c r="C481" s="1" t="n">
        <v>45831</v>
      </c>
      <c r="D481" t="inlineStr">
        <is>
          <t>VÄSTERBOTTENS LÄN</t>
        </is>
      </c>
      <c r="E481" t="inlineStr">
        <is>
          <t>LYCKSELE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13955-2021</t>
        </is>
      </c>
      <c r="B482" s="1" t="n">
        <v>44277</v>
      </c>
      <c r="C482" s="1" t="n">
        <v>45831</v>
      </c>
      <c r="D482" t="inlineStr">
        <is>
          <t>VÄSTERBOTTENS LÄN</t>
        </is>
      </c>
      <c r="E482" t="inlineStr">
        <is>
          <t>LYCKSELE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13924-2021</t>
        </is>
      </c>
      <c r="B483" s="1" t="n">
        <v>44277</v>
      </c>
      <c r="C483" s="1" t="n">
        <v>45831</v>
      </c>
      <c r="D483" t="inlineStr">
        <is>
          <t>VÄSTERBOTTENS LÄN</t>
        </is>
      </c>
      <c r="E483" t="inlineStr">
        <is>
          <t>LYCKSELE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13903-2021</t>
        </is>
      </c>
      <c r="B484" s="1" t="n">
        <v>44277</v>
      </c>
      <c r="C484" s="1" t="n">
        <v>45831</v>
      </c>
      <c r="D484" t="inlineStr">
        <is>
          <t>VÄSTERBOTTENS LÄN</t>
        </is>
      </c>
      <c r="E484" t="inlineStr">
        <is>
          <t>LYCKSELE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15112-2021</t>
        </is>
      </c>
      <c r="B485" s="1" t="n">
        <v>44282</v>
      </c>
      <c r="C485" s="1" t="n">
        <v>45831</v>
      </c>
      <c r="D485" t="inlineStr">
        <is>
          <t>VÄSTERBOTTENS LÄN</t>
        </is>
      </c>
      <c r="E485" t="inlineStr">
        <is>
          <t>LYCKSELE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15113-2021</t>
        </is>
      </c>
      <c r="B486" s="1" t="n">
        <v>44282</v>
      </c>
      <c r="C486" s="1" t="n">
        <v>45831</v>
      </c>
      <c r="D486" t="inlineStr">
        <is>
          <t>VÄSTERBOTTENS LÄN</t>
        </is>
      </c>
      <c r="E486" t="inlineStr">
        <is>
          <t>LYCKSELE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21961-2021</t>
        </is>
      </c>
      <c r="B487" s="1" t="n">
        <v>44323</v>
      </c>
      <c r="C487" s="1" t="n">
        <v>45831</v>
      </c>
      <c r="D487" t="inlineStr">
        <is>
          <t>VÄSTERBOTTENS LÄN</t>
        </is>
      </c>
      <c r="E487" t="inlineStr">
        <is>
          <t>LYCKSELE</t>
        </is>
      </c>
      <c r="G487" t="n">
        <v>11.1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26105-2021</t>
        </is>
      </c>
      <c r="B488" s="1" t="n">
        <v>44345</v>
      </c>
      <c r="C488" s="1" t="n">
        <v>45831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26635-2021</t>
        </is>
      </c>
      <c r="B489" s="1" t="n">
        <v>44348</v>
      </c>
      <c r="C489" s="1" t="n">
        <v>45831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Holmen skog AB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26673-2021</t>
        </is>
      </c>
      <c r="B490" s="1" t="n">
        <v>44349</v>
      </c>
      <c r="C490" s="1" t="n">
        <v>45831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10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27945-2021</t>
        </is>
      </c>
      <c r="B491" s="1" t="n">
        <v>44354</v>
      </c>
      <c r="C491" s="1" t="n">
        <v>45831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28263-2021</t>
        </is>
      </c>
      <c r="B492" s="1" t="n">
        <v>44355</v>
      </c>
      <c r="C492" s="1" t="n">
        <v>45831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28620-2021</t>
        </is>
      </c>
      <c r="B493" s="1" t="n">
        <v>44357</v>
      </c>
      <c r="C493" s="1" t="n">
        <v>45831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SCA</t>
        </is>
      </c>
      <c r="G493" t="n">
        <v>14.5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29150-2021</t>
        </is>
      </c>
      <c r="B494" s="1" t="n">
        <v>44358</v>
      </c>
      <c r="C494" s="1" t="n">
        <v>45831</v>
      </c>
      <c r="D494" t="inlineStr">
        <is>
          <t>VÄSTERBOTTENS LÄN</t>
        </is>
      </c>
      <c r="E494" t="inlineStr">
        <is>
          <t>LYCKSELE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29278-2021</t>
        </is>
      </c>
      <c r="B495" s="1" t="n">
        <v>44361</v>
      </c>
      <c r="C495" s="1" t="n">
        <v>45831</v>
      </c>
      <c r="D495" t="inlineStr">
        <is>
          <t>VÄSTERBOTTENS LÄN</t>
        </is>
      </c>
      <c r="E495" t="inlineStr">
        <is>
          <t>LYCKSELE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30919-2021</t>
        </is>
      </c>
      <c r="B496" s="1" t="n">
        <v>44365</v>
      </c>
      <c r="C496" s="1" t="n">
        <v>45831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31466-2021</t>
        </is>
      </c>
      <c r="B497" s="1" t="n">
        <v>44369</v>
      </c>
      <c r="C497" s="1" t="n">
        <v>45831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18.3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33161-2021</t>
        </is>
      </c>
      <c r="B498" s="1" t="n">
        <v>44376</v>
      </c>
      <c r="C498" s="1" t="n">
        <v>45831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33222-2021</t>
        </is>
      </c>
      <c r="B499" s="1" t="n">
        <v>44376</v>
      </c>
      <c r="C499" s="1" t="n">
        <v>45831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33165-2021</t>
        </is>
      </c>
      <c r="B500" s="1" t="n">
        <v>44376</v>
      </c>
      <c r="C500" s="1" t="n">
        <v>45831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35021-2021</t>
        </is>
      </c>
      <c r="B501" s="1" t="n">
        <v>44383</v>
      </c>
      <c r="C501" s="1" t="n">
        <v>45831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35282-2021</t>
        </is>
      </c>
      <c r="B502" s="1" t="n">
        <v>44384</v>
      </c>
      <c r="C502" s="1" t="n">
        <v>45831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17.4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35700-2021</t>
        </is>
      </c>
      <c r="B503" s="1" t="n">
        <v>44386</v>
      </c>
      <c r="C503" s="1" t="n">
        <v>45831</v>
      </c>
      <c r="D503" t="inlineStr">
        <is>
          <t>VÄSTERBOTTENS LÄN</t>
        </is>
      </c>
      <c r="E503" t="inlineStr">
        <is>
          <t>LYCKSELE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36046-2021</t>
        </is>
      </c>
      <c r="B504" s="1" t="n">
        <v>44386</v>
      </c>
      <c r="C504" s="1" t="n">
        <v>45831</v>
      </c>
      <c r="D504" t="inlineStr">
        <is>
          <t>VÄSTERBOTTENS LÄN</t>
        </is>
      </c>
      <c r="E504" t="inlineStr">
        <is>
          <t>LYCKSELE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35939-2021</t>
        </is>
      </c>
      <c r="B505" s="1" t="n">
        <v>44388</v>
      </c>
      <c r="C505" s="1" t="n">
        <v>45831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35938-2021</t>
        </is>
      </c>
      <c r="B506" s="1" t="n">
        <v>44388</v>
      </c>
      <c r="C506" s="1" t="n">
        <v>45831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35937-2021</t>
        </is>
      </c>
      <c r="B507" s="1" t="n">
        <v>44388</v>
      </c>
      <c r="C507" s="1" t="n">
        <v>45831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35943-2021</t>
        </is>
      </c>
      <c r="B508" s="1" t="n">
        <v>44388</v>
      </c>
      <c r="C508" s="1" t="n">
        <v>45831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36855-2021</t>
        </is>
      </c>
      <c r="B509" s="1" t="n">
        <v>44393</v>
      </c>
      <c r="C509" s="1" t="n">
        <v>45831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37727-2021</t>
        </is>
      </c>
      <c r="B510" s="1" t="n">
        <v>44400</v>
      </c>
      <c r="C510" s="1" t="n">
        <v>45831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14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37733-2021</t>
        </is>
      </c>
      <c r="B511" s="1" t="n">
        <v>44400</v>
      </c>
      <c r="C511" s="1" t="n">
        <v>45831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37731-2021</t>
        </is>
      </c>
      <c r="B512" s="1" t="n">
        <v>44400</v>
      </c>
      <c r="C512" s="1" t="n">
        <v>45831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37979-2021</t>
        </is>
      </c>
      <c r="B513" s="1" t="n">
        <v>44403</v>
      </c>
      <c r="C513" s="1" t="n">
        <v>45831</v>
      </c>
      <c r="D513" t="inlineStr">
        <is>
          <t>VÄSTERBOTTENS LÄN</t>
        </is>
      </c>
      <c r="E513" t="inlineStr">
        <is>
          <t>LYCKSELE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37984-2021</t>
        </is>
      </c>
      <c r="B514" s="1" t="n">
        <v>44403</v>
      </c>
      <c r="C514" s="1" t="n">
        <v>45831</v>
      </c>
      <c r="D514" t="inlineStr">
        <is>
          <t>VÄSTERBOTTENS LÄN</t>
        </is>
      </c>
      <c r="E514" t="inlineStr">
        <is>
          <t>LYCKSELE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37986-2021</t>
        </is>
      </c>
      <c r="B515" s="1" t="n">
        <v>44403</v>
      </c>
      <c r="C515" s="1" t="n">
        <v>45831</v>
      </c>
      <c r="D515" t="inlineStr">
        <is>
          <t>VÄSTERBOTTENS LÄN</t>
        </is>
      </c>
      <c r="E515" t="inlineStr">
        <is>
          <t>LYCKSELE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37987-2021</t>
        </is>
      </c>
      <c r="B516" s="1" t="n">
        <v>44403</v>
      </c>
      <c r="C516" s="1" t="n">
        <v>45831</v>
      </c>
      <c r="D516" t="inlineStr">
        <is>
          <t>VÄSTERBOTTENS LÄN</t>
        </is>
      </c>
      <c r="E516" t="inlineStr">
        <is>
          <t>LYCKSELE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38712-2021</t>
        </is>
      </c>
      <c r="B517" s="1" t="n">
        <v>44405</v>
      </c>
      <c r="C517" s="1" t="n">
        <v>45831</v>
      </c>
      <c r="D517" t="inlineStr">
        <is>
          <t>VÄSTERBOTTENS LÄN</t>
        </is>
      </c>
      <c r="E517" t="inlineStr">
        <is>
          <t>LYCKSELE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38544-2021</t>
        </is>
      </c>
      <c r="B518" s="1" t="n">
        <v>44407</v>
      </c>
      <c r="C518" s="1" t="n">
        <v>45831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39165-2021</t>
        </is>
      </c>
      <c r="B519" s="1" t="n">
        <v>44412</v>
      </c>
      <c r="C519" s="1" t="n">
        <v>45831</v>
      </c>
      <c r="D519" t="inlineStr">
        <is>
          <t>VÄSTERBOTTENS LÄN</t>
        </is>
      </c>
      <c r="E519" t="inlineStr">
        <is>
          <t>LYCKSELE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41497-2021</t>
        </is>
      </c>
      <c r="B520" s="1" t="n">
        <v>44424</v>
      </c>
      <c r="C520" s="1" t="n">
        <v>45831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SCA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42144-2021</t>
        </is>
      </c>
      <c r="B521" s="1" t="n">
        <v>44426</v>
      </c>
      <c r="C521" s="1" t="n">
        <v>45831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42818-2021</t>
        </is>
      </c>
      <c r="B522" s="1" t="n">
        <v>44429</v>
      </c>
      <c r="C522" s="1" t="n">
        <v>45831</v>
      </c>
      <c r="D522" t="inlineStr">
        <is>
          <t>VÄSTERBOTTENS LÄN</t>
        </is>
      </c>
      <c r="E522" t="inlineStr">
        <is>
          <t>LYCKSELE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42967-2021</t>
        </is>
      </c>
      <c r="B523" s="1" t="n">
        <v>44431</v>
      </c>
      <c r="C523" s="1" t="n">
        <v>45831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17.7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43579-2021</t>
        </is>
      </c>
      <c r="B524" s="1" t="n">
        <v>44433</v>
      </c>
      <c r="C524" s="1" t="n">
        <v>45831</v>
      </c>
      <c r="D524" t="inlineStr">
        <is>
          <t>VÄSTERBOTTENS LÄN</t>
        </is>
      </c>
      <c r="E524" t="inlineStr">
        <is>
          <t>LYCKSELE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44632-2021</t>
        </is>
      </c>
      <c r="B525" s="1" t="n">
        <v>44437</v>
      </c>
      <c r="C525" s="1" t="n">
        <v>45831</v>
      </c>
      <c r="D525" t="inlineStr">
        <is>
          <t>VÄSTERBOTTENS LÄN</t>
        </is>
      </c>
      <c r="E525" t="inlineStr">
        <is>
          <t>LYCKSELE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45270-2021</t>
        </is>
      </c>
      <c r="B526" s="1" t="n">
        <v>44439</v>
      </c>
      <c r="C526" s="1" t="n">
        <v>45831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45266-2021</t>
        </is>
      </c>
      <c r="B527" s="1" t="n">
        <v>44439</v>
      </c>
      <c r="C527" s="1" t="n">
        <v>45831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45503-2021</t>
        </is>
      </c>
      <c r="B528" s="1" t="n">
        <v>44440</v>
      </c>
      <c r="C528" s="1" t="n">
        <v>45831</v>
      </c>
      <c r="D528" t="inlineStr">
        <is>
          <t>VÄSTERBOTTENS LÄN</t>
        </is>
      </c>
      <c r="E528" t="inlineStr">
        <is>
          <t>LYCKSELE</t>
        </is>
      </c>
      <c r="G528" t="n">
        <v>29.1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45953-2021</t>
        </is>
      </c>
      <c r="B529" s="1" t="n">
        <v>44441</v>
      </c>
      <c r="C529" s="1" t="n">
        <v>45831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45946-2021</t>
        </is>
      </c>
      <c r="B530" s="1" t="n">
        <v>44441</v>
      </c>
      <c r="C530" s="1" t="n">
        <v>45831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8.6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47018-2021</t>
        </is>
      </c>
      <c r="B531" s="1" t="n">
        <v>44446</v>
      </c>
      <c r="C531" s="1" t="n">
        <v>45831</v>
      </c>
      <c r="D531" t="inlineStr">
        <is>
          <t>VÄSTERBOTTENS LÄN</t>
        </is>
      </c>
      <c r="E531" t="inlineStr">
        <is>
          <t>LYCKSELE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47067-2021</t>
        </is>
      </c>
      <c r="B532" s="1" t="n">
        <v>44446</v>
      </c>
      <c r="C532" s="1" t="n">
        <v>45831</v>
      </c>
      <c r="D532" t="inlineStr">
        <is>
          <t>VÄSTERBOTTENS LÄN</t>
        </is>
      </c>
      <c r="E532" t="inlineStr">
        <is>
          <t>LYCKSELE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47497-2021</t>
        </is>
      </c>
      <c r="B533" s="1" t="n">
        <v>44447</v>
      </c>
      <c r="C533" s="1" t="n">
        <v>45831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47717-2021</t>
        </is>
      </c>
      <c r="B534" s="1" t="n">
        <v>44448</v>
      </c>
      <c r="C534" s="1" t="n">
        <v>45831</v>
      </c>
      <c r="D534" t="inlineStr">
        <is>
          <t>VÄSTERBOTTENS LÄN</t>
        </is>
      </c>
      <c r="E534" t="inlineStr">
        <is>
          <t>LYCKSELE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47704-2021</t>
        </is>
      </c>
      <c r="B535" s="1" t="n">
        <v>44448</v>
      </c>
      <c r="C535" s="1" t="n">
        <v>45831</v>
      </c>
      <c r="D535" t="inlineStr">
        <is>
          <t>VÄSTERBOTTENS LÄN</t>
        </is>
      </c>
      <c r="E535" t="inlineStr">
        <is>
          <t>LYCKSELE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47711-2021</t>
        </is>
      </c>
      <c r="B536" s="1" t="n">
        <v>44448</v>
      </c>
      <c r="C536" s="1" t="n">
        <v>45831</v>
      </c>
      <c r="D536" t="inlineStr">
        <is>
          <t>VÄSTERBOTTENS LÄN</t>
        </is>
      </c>
      <c r="E536" t="inlineStr">
        <is>
          <t>LYCKSELE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47708-2021</t>
        </is>
      </c>
      <c r="B537" s="1" t="n">
        <v>44448</v>
      </c>
      <c r="C537" s="1" t="n">
        <v>45831</v>
      </c>
      <c r="D537" t="inlineStr">
        <is>
          <t>VÄSTERBOTTENS LÄN</t>
        </is>
      </c>
      <c r="E537" t="inlineStr">
        <is>
          <t>LYCKSELE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47697-2021</t>
        </is>
      </c>
      <c r="B538" s="1" t="n">
        <v>44448</v>
      </c>
      <c r="C538" s="1" t="n">
        <v>45831</v>
      </c>
      <c r="D538" t="inlineStr">
        <is>
          <t>VÄSTERBOTTENS LÄN</t>
        </is>
      </c>
      <c r="E538" t="inlineStr">
        <is>
          <t>LYCKSELE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48086-2021</t>
        </is>
      </c>
      <c r="B539" s="1" t="n">
        <v>44449</v>
      </c>
      <c r="C539" s="1" t="n">
        <v>45831</v>
      </c>
      <c r="D539" t="inlineStr">
        <is>
          <t>VÄSTERBOTTENS LÄN</t>
        </is>
      </c>
      <c r="E539" t="inlineStr">
        <is>
          <t>LYCKSELE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48987-2021</t>
        </is>
      </c>
      <c r="B540" s="1" t="n">
        <v>44453</v>
      </c>
      <c r="C540" s="1" t="n">
        <v>45831</v>
      </c>
      <c r="D540" t="inlineStr">
        <is>
          <t>VÄSTERBOTTENS LÄN</t>
        </is>
      </c>
      <c r="E540" t="inlineStr">
        <is>
          <t>LYCKSELE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48997-2021</t>
        </is>
      </c>
      <c r="B541" s="1" t="n">
        <v>44453</v>
      </c>
      <c r="C541" s="1" t="n">
        <v>45831</v>
      </c>
      <c r="D541" t="inlineStr">
        <is>
          <t>VÄSTERBOTTENS LÄN</t>
        </is>
      </c>
      <c r="E541" t="inlineStr">
        <is>
          <t>LYCKSELE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49816-2021</t>
        </is>
      </c>
      <c r="B542" s="1" t="n">
        <v>44454</v>
      </c>
      <c r="C542" s="1" t="n">
        <v>45831</v>
      </c>
      <c r="D542" t="inlineStr">
        <is>
          <t>VÄSTERBOTTENS LÄN</t>
        </is>
      </c>
      <c r="E542" t="inlineStr">
        <is>
          <t>LYCKSELE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50048-2021</t>
        </is>
      </c>
      <c r="B543" s="1" t="n">
        <v>44456</v>
      </c>
      <c r="C543" s="1" t="n">
        <v>45831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50044-2021</t>
        </is>
      </c>
      <c r="B544" s="1" t="n">
        <v>44456</v>
      </c>
      <c r="C544" s="1" t="n">
        <v>45831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50279-2021</t>
        </is>
      </c>
      <c r="B545" s="1" t="n">
        <v>44459</v>
      </c>
      <c r="C545" s="1" t="n">
        <v>45831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50340-2021</t>
        </is>
      </c>
      <c r="B546" s="1" t="n">
        <v>44459</v>
      </c>
      <c r="C546" s="1" t="n">
        <v>45831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51580-2021</t>
        </is>
      </c>
      <c r="B547" s="1" t="n">
        <v>44462</v>
      </c>
      <c r="C547" s="1" t="n">
        <v>45831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51931-2021</t>
        </is>
      </c>
      <c r="B548" s="1" t="n">
        <v>44463</v>
      </c>
      <c r="C548" s="1" t="n">
        <v>45831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51932-2021</t>
        </is>
      </c>
      <c r="B549" s="1" t="n">
        <v>44462</v>
      </c>
      <c r="C549" s="1" t="n">
        <v>45831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SCA</t>
        </is>
      </c>
      <c r="G549" t="n">
        <v>10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52210-2021</t>
        </is>
      </c>
      <c r="B550" s="1" t="n">
        <v>44463</v>
      </c>
      <c r="C550" s="1" t="n">
        <v>45831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52699-2021</t>
        </is>
      </c>
      <c r="B551" s="1" t="n">
        <v>44466</v>
      </c>
      <c r="C551" s="1" t="n">
        <v>45831</v>
      </c>
      <c r="D551" t="inlineStr">
        <is>
          <t>VÄSTERBOTTENS LÄN</t>
        </is>
      </c>
      <c r="E551" t="inlineStr">
        <is>
          <t>LYCKSELE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53323-2021</t>
        </is>
      </c>
      <c r="B552" s="1" t="n">
        <v>44468</v>
      </c>
      <c r="C552" s="1" t="n">
        <v>45831</v>
      </c>
      <c r="D552" t="inlineStr">
        <is>
          <t>VÄSTERBOTTENS LÄN</t>
        </is>
      </c>
      <c r="E552" t="inlineStr">
        <is>
          <t>LYCKSELE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53320-2021</t>
        </is>
      </c>
      <c r="B553" s="1" t="n">
        <v>44468</v>
      </c>
      <c r="C553" s="1" t="n">
        <v>45831</v>
      </c>
      <c r="D553" t="inlineStr">
        <is>
          <t>VÄSTERBOTTENS LÄN</t>
        </is>
      </c>
      <c r="E553" t="inlineStr">
        <is>
          <t>LYCKSELE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53614-2021</t>
        </is>
      </c>
      <c r="B554" s="1" t="n">
        <v>44469</v>
      </c>
      <c r="C554" s="1" t="n">
        <v>45831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53974-2021</t>
        </is>
      </c>
      <c r="B555" s="1" t="n">
        <v>44469</v>
      </c>
      <c r="C555" s="1" t="n">
        <v>45831</v>
      </c>
      <c r="D555" t="inlineStr">
        <is>
          <t>VÄSTERBOTTENS LÄN</t>
        </is>
      </c>
      <c r="E555" t="inlineStr">
        <is>
          <t>LYCKSELE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53979-2021</t>
        </is>
      </c>
      <c r="B556" s="1" t="n">
        <v>44469</v>
      </c>
      <c r="C556" s="1" t="n">
        <v>45831</v>
      </c>
      <c r="D556" t="inlineStr">
        <is>
          <t>VÄSTERBOTTENS LÄN</t>
        </is>
      </c>
      <c r="E556" t="inlineStr">
        <is>
          <t>LYCKSELE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54249-2021</t>
        </is>
      </c>
      <c r="B557" s="1" t="n">
        <v>44470</v>
      </c>
      <c r="C557" s="1" t="n">
        <v>45831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54245-2021</t>
        </is>
      </c>
      <c r="B558" s="1" t="n">
        <v>44470</v>
      </c>
      <c r="C558" s="1" t="n">
        <v>45831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54790-2021</t>
        </is>
      </c>
      <c r="B559" s="1" t="n">
        <v>44473</v>
      </c>
      <c r="C559" s="1" t="n">
        <v>45831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54735-2021</t>
        </is>
      </c>
      <c r="B560" s="1" t="n">
        <v>44473</v>
      </c>
      <c r="C560" s="1" t="n">
        <v>45831</v>
      </c>
      <c r="D560" t="inlineStr">
        <is>
          <t>VÄSTERBOTTENS LÄN</t>
        </is>
      </c>
      <c r="E560" t="inlineStr">
        <is>
          <t>LYCKSELE</t>
        </is>
      </c>
      <c r="G560" t="n">
        <v>11.2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54771-2021</t>
        </is>
      </c>
      <c r="B561" s="1" t="n">
        <v>44474</v>
      </c>
      <c r="C561" s="1" t="n">
        <v>45831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SCA</t>
        </is>
      </c>
      <c r="G561" t="n">
        <v>9.5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54794-2021</t>
        </is>
      </c>
      <c r="B562" s="1" t="n">
        <v>44474</v>
      </c>
      <c r="C562" s="1" t="n">
        <v>45831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SCA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55565-2021</t>
        </is>
      </c>
      <c r="B563" s="1" t="n">
        <v>44475</v>
      </c>
      <c r="C563" s="1" t="n">
        <v>45831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55658-2021</t>
        </is>
      </c>
      <c r="B564" s="1" t="n">
        <v>44476</v>
      </c>
      <c r="C564" s="1" t="n">
        <v>45831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56206-2021</t>
        </is>
      </c>
      <c r="B565" s="1" t="n">
        <v>44477</v>
      </c>
      <c r="C565" s="1" t="n">
        <v>45831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56401-2021</t>
        </is>
      </c>
      <c r="B566" s="1" t="n">
        <v>44477</v>
      </c>
      <c r="C566" s="1" t="n">
        <v>45831</v>
      </c>
      <c r="D566" t="inlineStr">
        <is>
          <t>VÄSTERBOTTENS LÄN</t>
        </is>
      </c>
      <c r="E566" t="inlineStr">
        <is>
          <t>LYCKSELE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56898-2021</t>
        </is>
      </c>
      <c r="B567" s="1" t="n">
        <v>44481</v>
      </c>
      <c r="C567" s="1" t="n">
        <v>45831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Naturvårdsverket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57666-2021</t>
        </is>
      </c>
      <c r="B568" s="1" t="n">
        <v>44484</v>
      </c>
      <c r="C568" s="1" t="n">
        <v>45831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57848-2021</t>
        </is>
      </c>
      <c r="B569" s="1" t="n">
        <v>44484</v>
      </c>
      <c r="C569" s="1" t="n">
        <v>45831</v>
      </c>
      <c r="D569" t="inlineStr">
        <is>
          <t>VÄSTERBOTTENS LÄN</t>
        </is>
      </c>
      <c r="E569" t="inlineStr">
        <is>
          <t>LYCKSELE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57818-2021</t>
        </is>
      </c>
      <c r="B570" s="1" t="n">
        <v>44484</v>
      </c>
      <c r="C570" s="1" t="n">
        <v>45831</v>
      </c>
      <c r="D570" t="inlineStr">
        <is>
          <t>VÄSTERBOTTENS LÄN</t>
        </is>
      </c>
      <c r="E570" t="inlineStr">
        <is>
          <t>LYCKSELE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57898-2021</t>
        </is>
      </c>
      <c r="B571" s="1" t="n">
        <v>44486</v>
      </c>
      <c r="C571" s="1" t="n">
        <v>45831</v>
      </c>
      <c r="D571" t="inlineStr">
        <is>
          <t>VÄSTERBOTTENS LÄN</t>
        </is>
      </c>
      <c r="E571" t="inlineStr">
        <is>
          <t>LYCKSELE</t>
        </is>
      </c>
      <c r="G571" t="n">
        <v>14.7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58911-2021</t>
        </is>
      </c>
      <c r="B572" s="1" t="n">
        <v>44489</v>
      </c>
      <c r="C572" s="1" t="n">
        <v>45831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10.6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59074-2021</t>
        </is>
      </c>
      <c r="B573" s="1" t="n">
        <v>44489</v>
      </c>
      <c r="C573" s="1" t="n">
        <v>45831</v>
      </c>
      <c r="D573" t="inlineStr">
        <is>
          <t>VÄSTERBOTTENS LÄN</t>
        </is>
      </c>
      <c r="E573" t="inlineStr">
        <is>
          <t>LYCKSELE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58946-2021</t>
        </is>
      </c>
      <c r="B574" s="1" t="n">
        <v>44490</v>
      </c>
      <c r="C574" s="1" t="n">
        <v>45831</v>
      </c>
      <c r="D574" t="inlineStr">
        <is>
          <t>VÄSTERBOTTENS LÄN</t>
        </is>
      </c>
      <c r="E574" t="inlineStr">
        <is>
          <t>LYCKSELE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59445-2021</t>
        </is>
      </c>
      <c r="B575" s="1" t="n">
        <v>44490</v>
      </c>
      <c r="C575" s="1" t="n">
        <v>45831</v>
      </c>
      <c r="D575" t="inlineStr">
        <is>
          <t>VÄSTERBOTTENS LÄN</t>
        </is>
      </c>
      <c r="E575" t="inlineStr">
        <is>
          <t>LYCKSELE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59516-2021</t>
        </is>
      </c>
      <c r="B576" s="1" t="n">
        <v>44491</v>
      </c>
      <c r="C576" s="1" t="n">
        <v>45831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Holmen skog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59555-2021</t>
        </is>
      </c>
      <c r="B577" s="1" t="n">
        <v>44491</v>
      </c>
      <c r="C577" s="1" t="n">
        <v>45831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60116-2021</t>
        </is>
      </c>
      <c r="B578" s="1" t="n">
        <v>44495</v>
      </c>
      <c r="C578" s="1" t="n">
        <v>45831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60044-2021</t>
        </is>
      </c>
      <c r="B579" s="1" t="n">
        <v>44495</v>
      </c>
      <c r="C579" s="1" t="n">
        <v>45831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60203-2021</t>
        </is>
      </c>
      <c r="B580" s="1" t="n">
        <v>44495</v>
      </c>
      <c r="C580" s="1" t="n">
        <v>45831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60425-2021</t>
        </is>
      </c>
      <c r="B581" s="1" t="n">
        <v>44496</v>
      </c>
      <c r="C581" s="1" t="n">
        <v>45831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60437-2021</t>
        </is>
      </c>
      <c r="B582" s="1" t="n">
        <v>44496</v>
      </c>
      <c r="C582" s="1" t="n">
        <v>45831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60586-2021</t>
        </is>
      </c>
      <c r="B583" s="1" t="n">
        <v>44496</v>
      </c>
      <c r="C583" s="1" t="n">
        <v>45831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60440-2021</t>
        </is>
      </c>
      <c r="B584" s="1" t="n">
        <v>44496</v>
      </c>
      <c r="C584" s="1" t="n">
        <v>45831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61169-2021</t>
        </is>
      </c>
      <c r="B585" s="1" t="n">
        <v>44498</v>
      </c>
      <c r="C585" s="1" t="n">
        <v>45831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61432-2021</t>
        </is>
      </c>
      <c r="B586" s="1" t="n">
        <v>44500</v>
      </c>
      <c r="C586" s="1" t="n">
        <v>45831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SCA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61554-2021</t>
        </is>
      </c>
      <c r="B587" s="1" t="n">
        <v>44501</v>
      </c>
      <c r="C587" s="1" t="n">
        <v>45831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61511-2021</t>
        </is>
      </c>
      <c r="B588" s="1" t="n">
        <v>44501</v>
      </c>
      <c r="C588" s="1" t="n">
        <v>45831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61651-2021</t>
        </is>
      </c>
      <c r="B589" s="1" t="n">
        <v>44501</v>
      </c>
      <c r="C589" s="1" t="n">
        <v>45831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61573-2021</t>
        </is>
      </c>
      <c r="B590" s="1" t="n">
        <v>44501</v>
      </c>
      <c r="C590" s="1" t="n">
        <v>45831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61588-2021</t>
        </is>
      </c>
      <c r="B591" s="1" t="n">
        <v>44501</v>
      </c>
      <c r="C591" s="1" t="n">
        <v>45831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61506-2021</t>
        </is>
      </c>
      <c r="B592" s="1" t="n">
        <v>44501</v>
      </c>
      <c r="C592" s="1" t="n">
        <v>45831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61940-2021</t>
        </is>
      </c>
      <c r="B593" s="1" t="n">
        <v>44502</v>
      </c>
      <c r="C593" s="1" t="n">
        <v>45831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61900-2021</t>
        </is>
      </c>
      <c r="B594" s="1" t="n">
        <v>44502</v>
      </c>
      <c r="C594" s="1" t="n">
        <v>45831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61907-2021</t>
        </is>
      </c>
      <c r="B595" s="1" t="n">
        <v>44502</v>
      </c>
      <c r="C595" s="1" t="n">
        <v>45831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63172-2021</t>
        </is>
      </c>
      <c r="B596" s="1" t="n">
        <v>44506</v>
      </c>
      <c r="C596" s="1" t="n">
        <v>45831</v>
      </c>
      <c r="D596" t="inlineStr">
        <is>
          <t>VÄSTERBOTTENS LÄN</t>
        </is>
      </c>
      <c r="E596" t="inlineStr">
        <is>
          <t>LYCKSELE</t>
        </is>
      </c>
      <c r="G596" t="n">
        <v>11.5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63827-2021</t>
        </is>
      </c>
      <c r="B597" s="1" t="n">
        <v>44509</v>
      </c>
      <c r="C597" s="1" t="n">
        <v>45831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63977-2021</t>
        </is>
      </c>
      <c r="B598" s="1" t="n">
        <v>44509</v>
      </c>
      <c r="C598" s="1" t="n">
        <v>45831</v>
      </c>
      <c r="D598" t="inlineStr">
        <is>
          <t>VÄSTERBOTTENS LÄN</t>
        </is>
      </c>
      <c r="E598" t="inlineStr">
        <is>
          <t>LYCKSELE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63976-2021</t>
        </is>
      </c>
      <c r="B599" s="1" t="n">
        <v>44509</v>
      </c>
      <c r="C599" s="1" t="n">
        <v>45831</v>
      </c>
      <c r="D599" t="inlineStr">
        <is>
          <t>VÄSTERBOTTENS LÄN</t>
        </is>
      </c>
      <c r="E599" t="inlineStr">
        <is>
          <t>LYCKSELE</t>
        </is>
      </c>
      <c r="G599" t="n">
        <v>12.1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65019-2021</t>
        </is>
      </c>
      <c r="B600" s="1" t="n">
        <v>44512</v>
      </c>
      <c r="C600" s="1" t="n">
        <v>45831</v>
      </c>
      <c r="D600" t="inlineStr">
        <is>
          <t>VÄSTERBOTTENS LÄN</t>
        </is>
      </c>
      <c r="E600" t="inlineStr">
        <is>
          <t>LYCKSELE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64893-2021</t>
        </is>
      </c>
      <c r="B601" s="1" t="n">
        <v>44512</v>
      </c>
      <c r="C601" s="1" t="n">
        <v>45831</v>
      </c>
      <c r="D601" t="inlineStr">
        <is>
          <t>VÄSTERBOTTENS LÄN</t>
        </is>
      </c>
      <c r="E601" t="inlineStr">
        <is>
          <t>LYCKSELE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65231-2021</t>
        </is>
      </c>
      <c r="B602" s="1" t="n">
        <v>44513</v>
      </c>
      <c r="C602" s="1" t="n">
        <v>45831</v>
      </c>
      <c r="D602" t="inlineStr">
        <is>
          <t>VÄSTERBOTTENS LÄN</t>
        </is>
      </c>
      <c r="E602" t="inlineStr">
        <is>
          <t>LYCKSELE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65487-2021</t>
        </is>
      </c>
      <c r="B603" s="1" t="n">
        <v>44515</v>
      </c>
      <c r="C603" s="1" t="n">
        <v>45831</v>
      </c>
      <c r="D603" t="inlineStr">
        <is>
          <t>VÄSTERBOTTENS LÄN</t>
        </is>
      </c>
      <c r="E603" t="inlineStr">
        <is>
          <t>LYCKSELE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66249-2021</t>
        </is>
      </c>
      <c r="B604" s="1" t="n">
        <v>44518</v>
      </c>
      <c r="C604" s="1" t="n">
        <v>45831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66460-2021</t>
        </is>
      </c>
      <c r="B605" s="1" t="n">
        <v>44518</v>
      </c>
      <c r="C605" s="1" t="n">
        <v>45831</v>
      </c>
      <c r="D605" t="inlineStr">
        <is>
          <t>VÄSTERBOTTENS LÄN</t>
        </is>
      </c>
      <c r="E605" t="inlineStr">
        <is>
          <t>LYCKSELE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66459-2021</t>
        </is>
      </c>
      <c r="B606" s="1" t="n">
        <v>44518</v>
      </c>
      <c r="C606" s="1" t="n">
        <v>45831</v>
      </c>
      <c r="D606" t="inlineStr">
        <is>
          <t>VÄSTERBOTTENS LÄN</t>
        </is>
      </c>
      <c r="E606" t="inlineStr">
        <is>
          <t>LYCKSELE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66712-2021</t>
        </is>
      </c>
      <c r="B607" s="1" t="n">
        <v>44519</v>
      </c>
      <c r="C607" s="1" t="n">
        <v>45831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SCA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67092-2021</t>
        </is>
      </c>
      <c r="B608" s="1" t="n">
        <v>44522</v>
      </c>
      <c r="C608" s="1" t="n">
        <v>45831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68110-2021</t>
        </is>
      </c>
      <c r="B609" s="1" t="n">
        <v>44526</v>
      </c>
      <c r="C609" s="1" t="n">
        <v>45831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68169-2021</t>
        </is>
      </c>
      <c r="B610" s="1" t="n">
        <v>44526</v>
      </c>
      <c r="C610" s="1" t="n">
        <v>45831</v>
      </c>
      <c r="D610" t="inlineStr">
        <is>
          <t>VÄSTERBOTTENS LÄN</t>
        </is>
      </c>
      <c r="E610" t="inlineStr">
        <is>
          <t>LYCKSELE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68665-2021</t>
        </is>
      </c>
      <c r="B611" s="1" t="n">
        <v>44529</v>
      </c>
      <c r="C611" s="1" t="n">
        <v>45831</v>
      </c>
      <c r="D611" t="inlineStr">
        <is>
          <t>VÄSTERBOTTENS LÄN</t>
        </is>
      </c>
      <c r="E611" t="inlineStr">
        <is>
          <t>LYCKSELE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68790-2021</t>
        </is>
      </c>
      <c r="B612" s="1" t="n">
        <v>44529</v>
      </c>
      <c r="C612" s="1" t="n">
        <v>45831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SCA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69488-2021</t>
        </is>
      </c>
      <c r="B613" s="1" t="n">
        <v>44531</v>
      </c>
      <c r="C613" s="1" t="n">
        <v>45831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69674-2021</t>
        </is>
      </c>
      <c r="B614" s="1" t="n">
        <v>44531</v>
      </c>
      <c r="C614" s="1" t="n">
        <v>45831</v>
      </c>
      <c r="D614" t="inlineStr">
        <is>
          <t>VÄSTERBOTTENS LÄN</t>
        </is>
      </c>
      <c r="E614" t="inlineStr">
        <is>
          <t>LYCKSELE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69226-2021</t>
        </is>
      </c>
      <c r="B615" s="1" t="n">
        <v>44531</v>
      </c>
      <c r="C615" s="1" t="n">
        <v>45831</v>
      </c>
      <c r="D615" t="inlineStr">
        <is>
          <t>VÄSTERBOTTENS LÄN</t>
        </is>
      </c>
      <c r="E615" t="inlineStr">
        <is>
          <t>LYCKSELE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69481-2021</t>
        </is>
      </c>
      <c r="B616" s="1" t="n">
        <v>44531</v>
      </c>
      <c r="C616" s="1" t="n">
        <v>45831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69462-2021</t>
        </is>
      </c>
      <c r="B617" s="1" t="n">
        <v>44531</v>
      </c>
      <c r="C617" s="1" t="n">
        <v>45831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69705-2021</t>
        </is>
      </c>
      <c r="B618" s="1" t="n">
        <v>44531</v>
      </c>
      <c r="C618" s="1" t="n">
        <v>45831</v>
      </c>
      <c r="D618" t="inlineStr">
        <is>
          <t>VÄSTERBOTTENS LÄN</t>
        </is>
      </c>
      <c r="E618" t="inlineStr">
        <is>
          <t>LYCKSELE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69627-2021</t>
        </is>
      </c>
      <c r="B619" s="1" t="n">
        <v>44532</v>
      </c>
      <c r="C619" s="1" t="n">
        <v>45831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69837-2021</t>
        </is>
      </c>
      <c r="B620" s="1" t="n">
        <v>44532</v>
      </c>
      <c r="C620" s="1" t="n">
        <v>45831</v>
      </c>
      <c r="D620" t="inlineStr">
        <is>
          <t>VÄSTERBOTTENS LÄN</t>
        </is>
      </c>
      <c r="E620" t="inlineStr">
        <is>
          <t>LYCKSELE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70193-2021</t>
        </is>
      </c>
      <c r="B621" s="1" t="n">
        <v>44534</v>
      </c>
      <c r="C621" s="1" t="n">
        <v>45831</v>
      </c>
      <c r="D621" t="inlineStr">
        <is>
          <t>VÄSTERBOTTENS LÄN</t>
        </is>
      </c>
      <c r="E621" t="inlineStr">
        <is>
          <t>LYCKSELE</t>
        </is>
      </c>
      <c r="G621" t="n">
        <v>27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70197-2021</t>
        </is>
      </c>
      <c r="B622" s="1" t="n">
        <v>44534</v>
      </c>
      <c r="C622" s="1" t="n">
        <v>45831</v>
      </c>
      <c r="D622" t="inlineStr">
        <is>
          <t>VÄSTERBOTTENS LÄN</t>
        </is>
      </c>
      <c r="E622" t="inlineStr">
        <is>
          <t>LYCKSELE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70196-2021</t>
        </is>
      </c>
      <c r="B623" s="1" t="n">
        <v>44534</v>
      </c>
      <c r="C623" s="1" t="n">
        <v>45831</v>
      </c>
      <c r="D623" t="inlineStr">
        <is>
          <t>VÄSTERBOTTENS LÄN</t>
        </is>
      </c>
      <c r="E623" t="inlineStr">
        <is>
          <t>LYCKSELE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70195-2021</t>
        </is>
      </c>
      <c r="B624" s="1" t="n">
        <v>44534</v>
      </c>
      <c r="C624" s="1" t="n">
        <v>45831</v>
      </c>
      <c r="D624" t="inlineStr">
        <is>
          <t>VÄSTERBOTTENS LÄN</t>
        </is>
      </c>
      <c r="E624" t="inlineStr">
        <is>
          <t>LYCKSELE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70194-2021</t>
        </is>
      </c>
      <c r="B625" s="1" t="n">
        <v>44534</v>
      </c>
      <c r="C625" s="1" t="n">
        <v>45831</v>
      </c>
      <c r="D625" t="inlineStr">
        <is>
          <t>VÄSTERBOTTENS LÄN</t>
        </is>
      </c>
      <c r="E625" t="inlineStr">
        <is>
          <t>LYCKSELE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70210-2021</t>
        </is>
      </c>
      <c r="B626" s="1" t="n">
        <v>44535</v>
      </c>
      <c r="C626" s="1" t="n">
        <v>45831</v>
      </c>
      <c r="D626" t="inlineStr">
        <is>
          <t>VÄSTERBOTTENS LÄN</t>
        </is>
      </c>
      <c r="E626" t="inlineStr">
        <is>
          <t>LYCKSELE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70211-2021</t>
        </is>
      </c>
      <c r="B627" s="1" t="n">
        <v>44535</v>
      </c>
      <c r="C627" s="1" t="n">
        <v>45831</v>
      </c>
      <c r="D627" t="inlineStr">
        <is>
          <t>VÄSTERBOTTENS LÄN</t>
        </is>
      </c>
      <c r="E627" t="inlineStr">
        <is>
          <t>LYCKSELE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70208-2021</t>
        </is>
      </c>
      <c r="B628" s="1" t="n">
        <v>44535</v>
      </c>
      <c r="C628" s="1" t="n">
        <v>45831</v>
      </c>
      <c r="D628" t="inlineStr">
        <is>
          <t>VÄSTERBOTTENS LÄN</t>
        </is>
      </c>
      <c r="E628" t="inlineStr">
        <is>
          <t>LYCKSELE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70212-2021</t>
        </is>
      </c>
      <c r="B629" s="1" t="n">
        <v>44535</v>
      </c>
      <c r="C629" s="1" t="n">
        <v>45831</v>
      </c>
      <c r="D629" t="inlineStr">
        <is>
          <t>VÄSTERBOTTENS LÄN</t>
        </is>
      </c>
      <c r="E629" t="inlineStr">
        <is>
          <t>LYCKSELE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70209-2021</t>
        </is>
      </c>
      <c r="B630" s="1" t="n">
        <v>44535</v>
      </c>
      <c r="C630" s="1" t="n">
        <v>45831</v>
      </c>
      <c r="D630" t="inlineStr">
        <is>
          <t>VÄSTERBOTTENS LÄN</t>
        </is>
      </c>
      <c r="E630" t="inlineStr">
        <is>
          <t>LYCKSELE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70213-2021</t>
        </is>
      </c>
      <c r="B631" s="1" t="n">
        <v>44535</v>
      </c>
      <c r="C631" s="1" t="n">
        <v>45831</v>
      </c>
      <c r="D631" t="inlineStr">
        <is>
          <t>VÄSTERBOTTENS LÄN</t>
        </is>
      </c>
      <c r="E631" t="inlineStr">
        <is>
          <t>LYCKSELE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70817-2021</t>
        </is>
      </c>
      <c r="B632" s="1" t="n">
        <v>44537</v>
      </c>
      <c r="C632" s="1" t="n">
        <v>45831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Naturvårdsverket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71228-2021</t>
        </is>
      </c>
      <c r="B633" s="1" t="n">
        <v>44538</v>
      </c>
      <c r="C633" s="1" t="n">
        <v>45831</v>
      </c>
      <c r="D633" t="inlineStr">
        <is>
          <t>VÄSTERBOTTENS LÄN</t>
        </is>
      </c>
      <c r="E633" t="inlineStr">
        <is>
          <t>LYCKSELE</t>
        </is>
      </c>
      <c r="G633" t="n">
        <v>11.8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71412-2021</t>
        </is>
      </c>
      <c r="B634" s="1" t="n">
        <v>44540</v>
      </c>
      <c r="C634" s="1" t="n">
        <v>45831</v>
      </c>
      <c r="D634" t="inlineStr">
        <is>
          <t>VÄSTERBOTTENS LÄN</t>
        </is>
      </c>
      <c r="E634" t="inlineStr">
        <is>
          <t>LYCKSELE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71407-2021</t>
        </is>
      </c>
      <c r="B635" s="1" t="n">
        <v>44540</v>
      </c>
      <c r="C635" s="1" t="n">
        <v>45831</v>
      </c>
      <c r="D635" t="inlineStr">
        <is>
          <t>VÄSTERBOTTENS LÄN</t>
        </is>
      </c>
      <c r="E635" t="inlineStr">
        <is>
          <t>LYCKSELE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72377-2021</t>
        </is>
      </c>
      <c r="B636" s="1" t="n">
        <v>44544</v>
      </c>
      <c r="C636" s="1" t="n">
        <v>45831</v>
      </c>
      <c r="D636" t="inlineStr">
        <is>
          <t>VÄSTERBOTTENS LÄN</t>
        </is>
      </c>
      <c r="E636" t="inlineStr">
        <is>
          <t>LYCKSELE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72332-2021</t>
        </is>
      </c>
      <c r="B637" s="1" t="n">
        <v>44545</v>
      </c>
      <c r="C637" s="1" t="n">
        <v>45831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72505-2021</t>
        </is>
      </c>
      <c r="B638" s="1" t="n">
        <v>44546</v>
      </c>
      <c r="C638" s="1" t="n">
        <v>45831</v>
      </c>
      <c r="D638" t="inlineStr">
        <is>
          <t>VÄSTERBOTTENS LÄN</t>
        </is>
      </c>
      <c r="E638" t="inlineStr">
        <is>
          <t>LYCKSELE</t>
        </is>
      </c>
      <c r="G638" t="n">
        <v>15.1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73113-2021</t>
        </is>
      </c>
      <c r="B639" s="1" t="n">
        <v>44550</v>
      </c>
      <c r="C639" s="1" t="n">
        <v>45831</v>
      </c>
      <c r="D639" t="inlineStr">
        <is>
          <t>VÄSTERBOTTENS LÄN</t>
        </is>
      </c>
      <c r="E639" t="inlineStr">
        <is>
          <t>LYCKSELE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73596-2021</t>
        </is>
      </c>
      <c r="B640" s="1" t="n">
        <v>44551</v>
      </c>
      <c r="C640" s="1" t="n">
        <v>45831</v>
      </c>
      <c r="D640" t="inlineStr">
        <is>
          <t>VÄSTERBOTTENS LÄN</t>
        </is>
      </c>
      <c r="E640" t="inlineStr">
        <is>
          <t>LYCKSELE</t>
        </is>
      </c>
      <c r="G640" t="n">
        <v>20.6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73851-2021</t>
        </is>
      </c>
      <c r="B641" s="1" t="n">
        <v>44552</v>
      </c>
      <c r="C641" s="1" t="n">
        <v>45831</v>
      </c>
      <c r="D641" t="inlineStr">
        <is>
          <t>VÄSTERBOTTENS LÄN</t>
        </is>
      </c>
      <c r="E641" t="inlineStr">
        <is>
          <t>LYCKSELE</t>
        </is>
      </c>
      <c r="G641" t="n">
        <v>16.5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73881-2021</t>
        </is>
      </c>
      <c r="B642" s="1" t="n">
        <v>44553</v>
      </c>
      <c r="C642" s="1" t="n">
        <v>45831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74083-2021</t>
        </is>
      </c>
      <c r="B643" s="1" t="n">
        <v>44557</v>
      </c>
      <c r="C643" s="1" t="n">
        <v>45831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74179-2021</t>
        </is>
      </c>
      <c r="B644" s="1" t="n">
        <v>44558</v>
      </c>
      <c r="C644" s="1" t="n">
        <v>45831</v>
      </c>
      <c r="D644" t="inlineStr">
        <is>
          <t>VÄSTERBOTTENS LÄN</t>
        </is>
      </c>
      <c r="E644" t="inlineStr">
        <is>
          <t>LYCKSELE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151-2022</t>
        </is>
      </c>
      <c r="B645" s="1" t="n">
        <v>44560</v>
      </c>
      <c r="C645" s="1" t="n">
        <v>45831</v>
      </c>
      <c r="D645" t="inlineStr">
        <is>
          <t>VÄSTERBOTTENS LÄN</t>
        </is>
      </c>
      <c r="E645" t="inlineStr">
        <is>
          <t>LYCKSELE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116-2022</t>
        </is>
      </c>
      <c r="B646" s="1" t="n">
        <v>44564</v>
      </c>
      <c r="C646" s="1" t="n">
        <v>45831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11.1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325-2022</t>
        </is>
      </c>
      <c r="B647" s="1" t="n">
        <v>44564</v>
      </c>
      <c r="C647" s="1" t="n">
        <v>45831</v>
      </c>
      <c r="D647" t="inlineStr">
        <is>
          <t>VÄSTERBOTTENS LÄN</t>
        </is>
      </c>
      <c r="E647" t="inlineStr">
        <is>
          <t>LYCKSELE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229-2022</t>
        </is>
      </c>
      <c r="B648" s="1" t="n">
        <v>44564</v>
      </c>
      <c r="C648" s="1" t="n">
        <v>45831</v>
      </c>
      <c r="D648" t="inlineStr">
        <is>
          <t>VÄSTERBOTTENS LÄN</t>
        </is>
      </c>
      <c r="E648" t="inlineStr">
        <is>
          <t>LYCKSELE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578-2022</t>
        </is>
      </c>
      <c r="B649" s="1" t="n">
        <v>44566</v>
      </c>
      <c r="C649" s="1" t="n">
        <v>45831</v>
      </c>
      <c r="D649" t="inlineStr">
        <is>
          <t>VÄSTERBOTTENS LÄN</t>
        </is>
      </c>
      <c r="E649" t="inlineStr">
        <is>
          <t>LYCKSELE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526-2022</t>
        </is>
      </c>
      <c r="B650" s="1" t="n">
        <v>44566</v>
      </c>
      <c r="C650" s="1" t="n">
        <v>45831</v>
      </c>
      <c r="D650" t="inlineStr">
        <is>
          <t>VÄSTERBOTTENS LÄN</t>
        </is>
      </c>
      <c r="E650" t="inlineStr">
        <is>
          <t>LYCKSELE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615-2022</t>
        </is>
      </c>
      <c r="B651" s="1" t="n">
        <v>44567</v>
      </c>
      <c r="C651" s="1" t="n">
        <v>45831</v>
      </c>
      <c r="D651" t="inlineStr">
        <is>
          <t>VÄSTERBOTTENS LÄN</t>
        </is>
      </c>
      <c r="E651" t="inlineStr">
        <is>
          <t>LYCKSELE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932-2022</t>
        </is>
      </c>
      <c r="B652" s="1" t="n">
        <v>44571</v>
      </c>
      <c r="C652" s="1" t="n">
        <v>45831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1023-2022</t>
        </is>
      </c>
      <c r="B653" s="1" t="n">
        <v>44571</v>
      </c>
      <c r="C653" s="1" t="n">
        <v>45831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849-2022</t>
        </is>
      </c>
      <c r="B654" s="1" t="n">
        <v>44571</v>
      </c>
      <c r="C654" s="1" t="n">
        <v>45831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935-2022</t>
        </is>
      </c>
      <c r="B655" s="1" t="n">
        <v>44571</v>
      </c>
      <c r="C655" s="1" t="n">
        <v>45831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929-2022</t>
        </is>
      </c>
      <c r="B656" s="1" t="n">
        <v>44571</v>
      </c>
      <c r="C656" s="1" t="n">
        <v>45831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1025-2022</t>
        </is>
      </c>
      <c r="B657" s="1" t="n">
        <v>44571</v>
      </c>
      <c r="C657" s="1" t="n">
        <v>45831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1048-2022</t>
        </is>
      </c>
      <c r="B658" s="1" t="n">
        <v>44571</v>
      </c>
      <c r="C658" s="1" t="n">
        <v>45831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1161-2022</t>
        </is>
      </c>
      <c r="B659" s="1" t="n">
        <v>44571</v>
      </c>
      <c r="C659" s="1" t="n">
        <v>45831</v>
      </c>
      <c r="D659" t="inlineStr">
        <is>
          <t>VÄSTERBOTTENS LÄN</t>
        </is>
      </c>
      <c r="E659" t="inlineStr">
        <is>
          <t>LYCKSELE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1163-2022</t>
        </is>
      </c>
      <c r="B660" s="1" t="n">
        <v>44572</v>
      </c>
      <c r="C660" s="1" t="n">
        <v>45831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48.3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1289-2022</t>
        </is>
      </c>
      <c r="B661" s="1" t="n">
        <v>44572</v>
      </c>
      <c r="C661" s="1" t="n">
        <v>45831</v>
      </c>
      <c r="D661" t="inlineStr">
        <is>
          <t>VÄSTERBOTTENS LÄN</t>
        </is>
      </c>
      <c r="E661" t="inlineStr">
        <is>
          <t>LYCKSELE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2245-2022</t>
        </is>
      </c>
      <c r="B662" s="1" t="n">
        <v>44578</v>
      </c>
      <c r="C662" s="1" t="n">
        <v>45831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2432-2022</t>
        </is>
      </c>
      <c r="B663" s="1" t="n">
        <v>44579</v>
      </c>
      <c r="C663" s="1" t="n">
        <v>45831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2433-2022</t>
        </is>
      </c>
      <c r="B664" s="1" t="n">
        <v>44579</v>
      </c>
      <c r="C664" s="1" t="n">
        <v>45831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2386-2022</t>
        </is>
      </c>
      <c r="B665" s="1" t="n">
        <v>44579</v>
      </c>
      <c r="C665" s="1" t="n">
        <v>45831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2576-2022</t>
        </is>
      </c>
      <c r="B666" s="1" t="n">
        <v>44580</v>
      </c>
      <c r="C666" s="1" t="n">
        <v>45831</v>
      </c>
      <c r="D666" t="inlineStr">
        <is>
          <t>VÄSTERBOTTENS LÄN</t>
        </is>
      </c>
      <c r="E666" t="inlineStr">
        <is>
          <t>LYCKSELE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2758-2022</t>
        </is>
      </c>
      <c r="B667" s="1" t="n">
        <v>44580</v>
      </c>
      <c r="C667" s="1" t="n">
        <v>45831</v>
      </c>
      <c r="D667" t="inlineStr">
        <is>
          <t>VÄSTERBOTTENS LÄN</t>
        </is>
      </c>
      <c r="E667" t="inlineStr">
        <is>
          <t>LYCKSELE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2859-2022</t>
        </is>
      </c>
      <c r="B668" s="1" t="n">
        <v>44581</v>
      </c>
      <c r="C668" s="1" t="n">
        <v>45831</v>
      </c>
      <c r="D668" t="inlineStr">
        <is>
          <t>VÄSTERBOTTENS LÄN</t>
        </is>
      </c>
      <c r="E668" t="inlineStr">
        <is>
          <t>LYCKSELE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3368-2022</t>
        </is>
      </c>
      <c r="B669" s="1" t="n">
        <v>44585</v>
      </c>
      <c r="C669" s="1" t="n">
        <v>45831</v>
      </c>
      <c r="D669" t="inlineStr">
        <is>
          <t>VÄSTERBOTTENS LÄN</t>
        </is>
      </c>
      <c r="E669" t="inlineStr">
        <is>
          <t>LYCKSELE</t>
        </is>
      </c>
      <c r="G669" t="n">
        <v>11.8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3400-2022</t>
        </is>
      </c>
      <c r="B670" s="1" t="n">
        <v>44585</v>
      </c>
      <c r="C670" s="1" t="n">
        <v>45831</v>
      </c>
      <c r="D670" t="inlineStr">
        <is>
          <t>VÄSTERBOTTENS LÄN</t>
        </is>
      </c>
      <c r="E670" t="inlineStr">
        <is>
          <t>LYCKSELE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3669-2022</t>
        </is>
      </c>
      <c r="B671" s="1" t="n">
        <v>44586</v>
      </c>
      <c r="C671" s="1" t="n">
        <v>45831</v>
      </c>
      <c r="D671" t="inlineStr">
        <is>
          <t>VÄSTERBOTTENS LÄN</t>
        </is>
      </c>
      <c r="E671" t="inlineStr">
        <is>
          <t>LYCKSELE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4434-2022</t>
        </is>
      </c>
      <c r="B672" s="1" t="n">
        <v>44589</v>
      </c>
      <c r="C672" s="1" t="n">
        <v>45831</v>
      </c>
      <c r="D672" t="inlineStr">
        <is>
          <t>VÄSTERBOTTENS LÄN</t>
        </is>
      </c>
      <c r="E672" t="inlineStr">
        <is>
          <t>LYCKSELE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5162-2022</t>
        </is>
      </c>
      <c r="B673" s="1" t="n">
        <v>44594</v>
      </c>
      <c r="C673" s="1" t="n">
        <v>45831</v>
      </c>
      <c r="D673" t="inlineStr">
        <is>
          <t>VÄSTERBOTTENS LÄN</t>
        </is>
      </c>
      <c r="E673" t="inlineStr">
        <is>
          <t>LYCKSELE</t>
        </is>
      </c>
      <c r="G673" t="n">
        <v>17.4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6426-2022</t>
        </is>
      </c>
      <c r="B674" s="1" t="n">
        <v>44600</v>
      </c>
      <c r="C674" s="1" t="n">
        <v>45831</v>
      </c>
      <c r="D674" t="inlineStr">
        <is>
          <t>VÄSTERBOTTENS LÄN</t>
        </is>
      </c>
      <c r="E674" t="inlineStr">
        <is>
          <t>LYCKSELE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7063-2022</t>
        </is>
      </c>
      <c r="B675" s="1" t="n">
        <v>44603</v>
      </c>
      <c r="C675" s="1" t="n">
        <v>45831</v>
      </c>
      <c r="D675" t="inlineStr">
        <is>
          <t>VÄSTERBOTTENS LÄN</t>
        </is>
      </c>
      <c r="E675" t="inlineStr">
        <is>
          <t>LYCKSELE</t>
        </is>
      </c>
      <c r="G675" t="n">
        <v>14.2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7001-2022</t>
        </is>
      </c>
      <c r="B676" s="1" t="n">
        <v>44603</v>
      </c>
      <c r="C676" s="1" t="n">
        <v>45831</v>
      </c>
      <c r="D676" t="inlineStr">
        <is>
          <t>VÄSTERBOTTENS LÄN</t>
        </is>
      </c>
      <c r="E676" t="inlineStr">
        <is>
          <t>LYCKSELE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7397-2022</t>
        </is>
      </c>
      <c r="B677" s="1" t="n">
        <v>44606</v>
      </c>
      <c r="C677" s="1" t="n">
        <v>45831</v>
      </c>
      <c r="D677" t="inlineStr">
        <is>
          <t>VÄSTERBOTTENS LÄN</t>
        </is>
      </c>
      <c r="E677" t="inlineStr">
        <is>
          <t>LYCKSELE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7433-2022</t>
        </is>
      </c>
      <c r="B678" s="1" t="n">
        <v>44606</v>
      </c>
      <c r="C678" s="1" t="n">
        <v>45831</v>
      </c>
      <c r="D678" t="inlineStr">
        <is>
          <t>VÄSTERBOTTENS LÄN</t>
        </is>
      </c>
      <c r="E678" t="inlineStr">
        <is>
          <t>LYCKSELE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9879-2022</t>
        </is>
      </c>
      <c r="B679" s="1" t="n">
        <v>44620</v>
      </c>
      <c r="C679" s="1" t="n">
        <v>45831</v>
      </c>
      <c r="D679" t="inlineStr">
        <is>
          <t>VÄSTERBOTTENS LÄN</t>
        </is>
      </c>
      <c r="E679" t="inlineStr">
        <is>
          <t>LYCKSELE</t>
        </is>
      </c>
      <c r="G679" t="n">
        <v>8.699999999999999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9892-2022</t>
        </is>
      </c>
      <c r="B680" s="1" t="n">
        <v>44620</v>
      </c>
      <c r="C680" s="1" t="n">
        <v>45831</v>
      </c>
      <c r="D680" t="inlineStr">
        <is>
          <t>VÄSTERBOTTENS LÄN</t>
        </is>
      </c>
      <c r="E680" t="inlineStr">
        <is>
          <t>LYCKSELE</t>
        </is>
      </c>
      <c r="G680" t="n">
        <v>14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10221-2022</t>
        </is>
      </c>
      <c r="B681" s="1" t="n">
        <v>44622</v>
      </c>
      <c r="C681" s="1" t="n">
        <v>45831</v>
      </c>
      <c r="D681" t="inlineStr">
        <is>
          <t>VÄSTERBOTTENS LÄN</t>
        </is>
      </c>
      <c r="E681" t="inlineStr">
        <is>
          <t>LYCKSELE</t>
        </is>
      </c>
      <c r="G681" t="n">
        <v>9.300000000000001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10302-2022</t>
        </is>
      </c>
      <c r="B682" s="1" t="n">
        <v>44622</v>
      </c>
      <c r="C682" s="1" t="n">
        <v>45831</v>
      </c>
      <c r="D682" t="inlineStr">
        <is>
          <t>VÄSTERBOTTENS LÄN</t>
        </is>
      </c>
      <c r="E682" t="inlineStr">
        <is>
          <t>LYCKSELE</t>
        </is>
      </c>
      <c r="G682" t="n">
        <v>13.8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12261-2022</t>
        </is>
      </c>
      <c r="B683" s="1" t="n">
        <v>44637</v>
      </c>
      <c r="C683" s="1" t="n">
        <v>45831</v>
      </c>
      <c r="D683" t="inlineStr">
        <is>
          <t>VÄSTERBOTTENS LÄN</t>
        </is>
      </c>
      <c r="E683" t="inlineStr">
        <is>
          <t>LYCKSELE</t>
        </is>
      </c>
      <c r="G683" t="n">
        <v>30.8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12760-2022</t>
        </is>
      </c>
      <c r="B684" s="1" t="n">
        <v>44641</v>
      </c>
      <c r="C684" s="1" t="n">
        <v>45831</v>
      </c>
      <c r="D684" t="inlineStr">
        <is>
          <t>VÄSTERBOTTENS LÄN</t>
        </is>
      </c>
      <c r="E684" t="inlineStr">
        <is>
          <t>LYCKSELE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12839-2022</t>
        </is>
      </c>
      <c r="B685" s="1" t="n">
        <v>44642</v>
      </c>
      <c r="C685" s="1" t="n">
        <v>45831</v>
      </c>
      <c r="D685" t="inlineStr">
        <is>
          <t>VÄSTERBOTTENS LÄN</t>
        </is>
      </c>
      <c r="E685" t="inlineStr">
        <is>
          <t>LYCKSELE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13385-2022</t>
        </is>
      </c>
      <c r="B686" s="1" t="n">
        <v>44645</v>
      </c>
      <c r="C686" s="1" t="n">
        <v>45831</v>
      </c>
      <c r="D686" t="inlineStr">
        <is>
          <t>VÄSTERBOTTENS LÄN</t>
        </is>
      </c>
      <c r="E686" t="inlineStr">
        <is>
          <t>LYCKSELE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16274-2022</t>
        </is>
      </c>
      <c r="B687" s="1" t="n">
        <v>44670</v>
      </c>
      <c r="C687" s="1" t="n">
        <v>45831</v>
      </c>
      <c r="D687" t="inlineStr">
        <is>
          <t>VÄSTERBOTTENS LÄN</t>
        </is>
      </c>
      <c r="E687" t="inlineStr">
        <is>
          <t>LYCKSELE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16272-2022</t>
        </is>
      </c>
      <c r="B688" s="1" t="n">
        <v>44670</v>
      </c>
      <c r="C688" s="1" t="n">
        <v>45831</v>
      </c>
      <c r="D688" t="inlineStr">
        <is>
          <t>VÄSTERBOTTENS LÄN</t>
        </is>
      </c>
      <c r="E688" t="inlineStr">
        <is>
          <t>LYCKSELE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16669-2022</t>
        </is>
      </c>
      <c r="B689" s="1" t="n">
        <v>44673</v>
      </c>
      <c r="C689" s="1" t="n">
        <v>45831</v>
      </c>
      <c r="D689" t="inlineStr">
        <is>
          <t>VÄSTERBOTTENS LÄN</t>
        </is>
      </c>
      <c r="E689" t="inlineStr">
        <is>
          <t>LYCKSELE</t>
        </is>
      </c>
      <c r="G689" t="n">
        <v>12.8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16845-2022</t>
        </is>
      </c>
      <c r="B690" s="1" t="n">
        <v>44673</v>
      </c>
      <c r="C690" s="1" t="n">
        <v>45831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17831-2022</t>
        </is>
      </c>
      <c r="B691" s="1" t="n">
        <v>44683</v>
      </c>
      <c r="C691" s="1" t="n">
        <v>45831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18686-2022</t>
        </is>
      </c>
      <c r="B692" s="1" t="n">
        <v>44687</v>
      </c>
      <c r="C692" s="1" t="n">
        <v>45831</v>
      </c>
      <c r="D692" t="inlineStr">
        <is>
          <t>VÄSTERBOTTENS LÄN</t>
        </is>
      </c>
      <c r="E692" t="inlineStr">
        <is>
          <t>LYCKSELE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19769-2022</t>
        </is>
      </c>
      <c r="B693" s="1" t="n">
        <v>44694</v>
      </c>
      <c r="C693" s="1" t="n">
        <v>45831</v>
      </c>
      <c r="D693" t="inlineStr">
        <is>
          <t>VÄSTERBOTTENS LÄN</t>
        </is>
      </c>
      <c r="E693" t="inlineStr">
        <is>
          <t>LYCKSELE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20287-2022</t>
        </is>
      </c>
      <c r="B694" s="1" t="n">
        <v>44698</v>
      </c>
      <c r="C694" s="1" t="n">
        <v>45831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11.5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20466-2022</t>
        </is>
      </c>
      <c r="B695" s="1" t="n">
        <v>44699</v>
      </c>
      <c r="C695" s="1" t="n">
        <v>45831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21058-2022</t>
        </is>
      </c>
      <c r="B696" s="1" t="n">
        <v>44704</v>
      </c>
      <c r="C696" s="1" t="n">
        <v>45831</v>
      </c>
      <c r="D696" t="inlineStr">
        <is>
          <t>VÄSTERBOTTENS LÄN</t>
        </is>
      </c>
      <c r="E696" t="inlineStr">
        <is>
          <t>LYCKSELE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21681-2022</t>
        </is>
      </c>
      <c r="B697" s="1" t="n">
        <v>44707</v>
      </c>
      <c r="C697" s="1" t="n">
        <v>45831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21683-2022</t>
        </is>
      </c>
      <c r="B698" s="1" t="n">
        <v>44707</v>
      </c>
      <c r="C698" s="1" t="n">
        <v>45831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21900-2022</t>
        </is>
      </c>
      <c r="B699" s="1" t="n">
        <v>44711</v>
      </c>
      <c r="C699" s="1" t="n">
        <v>45831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22036-2022</t>
        </is>
      </c>
      <c r="B700" s="1" t="n">
        <v>44711</v>
      </c>
      <c r="C700" s="1" t="n">
        <v>45831</v>
      </c>
      <c r="D700" t="inlineStr">
        <is>
          <t>VÄSTERBOTTENS LÄN</t>
        </is>
      </c>
      <c r="E700" t="inlineStr">
        <is>
          <t>LYCKSELE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22076-2022</t>
        </is>
      </c>
      <c r="B701" s="1" t="n">
        <v>44711</v>
      </c>
      <c r="C701" s="1" t="n">
        <v>45831</v>
      </c>
      <c r="D701" t="inlineStr">
        <is>
          <t>VÄSTERBOTTENS LÄN</t>
        </is>
      </c>
      <c r="E701" t="inlineStr">
        <is>
          <t>LYCKSELE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22075-2022</t>
        </is>
      </c>
      <c r="B702" s="1" t="n">
        <v>44711</v>
      </c>
      <c r="C702" s="1" t="n">
        <v>45831</v>
      </c>
      <c r="D702" t="inlineStr">
        <is>
          <t>VÄSTERBOTTENS LÄN</t>
        </is>
      </c>
      <c r="E702" t="inlineStr">
        <is>
          <t>LYCKSELE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23164-2022</t>
        </is>
      </c>
      <c r="B703" s="1" t="n">
        <v>44719</v>
      </c>
      <c r="C703" s="1" t="n">
        <v>45831</v>
      </c>
      <c r="D703" t="inlineStr">
        <is>
          <t>VÄSTERBOTTENS LÄN</t>
        </is>
      </c>
      <c r="E703" t="inlineStr">
        <is>
          <t>LYCKSELE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24478-2022</t>
        </is>
      </c>
      <c r="B704" s="1" t="n">
        <v>44726</v>
      </c>
      <c r="C704" s="1" t="n">
        <v>45831</v>
      </c>
      <c r="D704" t="inlineStr">
        <is>
          <t>VÄSTERBOTTENS LÄN</t>
        </is>
      </c>
      <c r="E704" t="inlineStr">
        <is>
          <t>LYCKSELE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24556-2022</t>
        </is>
      </c>
      <c r="B705" s="1" t="n">
        <v>44727</v>
      </c>
      <c r="C705" s="1" t="n">
        <v>45831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25257-2022</t>
        </is>
      </c>
      <c r="B706" s="1" t="n">
        <v>44729</v>
      </c>
      <c r="C706" s="1" t="n">
        <v>45831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Naturvårdsverket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25308-2022</t>
        </is>
      </c>
      <c r="B707" s="1" t="n">
        <v>44731</v>
      </c>
      <c r="C707" s="1" t="n">
        <v>45831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25752-2022</t>
        </is>
      </c>
      <c r="B708" s="1" t="n">
        <v>44733</v>
      </c>
      <c r="C708" s="1" t="n">
        <v>45831</v>
      </c>
      <c r="D708" t="inlineStr">
        <is>
          <t>VÄSTERBOTTENS LÄN</t>
        </is>
      </c>
      <c r="E708" t="inlineStr">
        <is>
          <t>LYCKSELE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25902-2022</t>
        </is>
      </c>
      <c r="B709" s="1" t="n">
        <v>44733</v>
      </c>
      <c r="C709" s="1" t="n">
        <v>45831</v>
      </c>
      <c r="D709" t="inlineStr">
        <is>
          <t>VÄSTERBOTTENS LÄN</t>
        </is>
      </c>
      <c r="E709" t="inlineStr">
        <is>
          <t>LYCKSELE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26351-2022</t>
        </is>
      </c>
      <c r="B710" s="1" t="n">
        <v>44735</v>
      </c>
      <c r="C710" s="1" t="n">
        <v>45831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26396-2022</t>
        </is>
      </c>
      <c r="B711" s="1" t="n">
        <v>44735</v>
      </c>
      <c r="C711" s="1" t="n">
        <v>45831</v>
      </c>
      <c r="D711" t="inlineStr">
        <is>
          <t>VÄSTERBOTTENS LÄN</t>
        </is>
      </c>
      <c r="E711" t="inlineStr">
        <is>
          <t>LYCKSELE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26397-2022</t>
        </is>
      </c>
      <c r="B712" s="1" t="n">
        <v>44735</v>
      </c>
      <c r="C712" s="1" t="n">
        <v>45831</v>
      </c>
      <c r="D712" t="inlineStr">
        <is>
          <t>VÄSTERBOTTENS LÄN</t>
        </is>
      </c>
      <c r="E712" t="inlineStr">
        <is>
          <t>LYCKSELE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27548-2022</t>
        </is>
      </c>
      <c r="B713" s="1" t="n">
        <v>44742</v>
      </c>
      <c r="C713" s="1" t="n">
        <v>45831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27761-2022</t>
        </is>
      </c>
      <c r="B714" s="1" t="n">
        <v>44743</v>
      </c>
      <c r="C714" s="1" t="n">
        <v>45831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28994-2022</t>
        </is>
      </c>
      <c r="B715" s="1" t="n">
        <v>44749</v>
      </c>
      <c r="C715" s="1" t="n">
        <v>45831</v>
      </c>
      <c r="D715" t="inlineStr">
        <is>
          <t>VÄSTERBOTTENS LÄN</t>
        </is>
      </c>
      <c r="E715" t="inlineStr">
        <is>
          <t>LYCKSELE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28989-2022</t>
        </is>
      </c>
      <c r="B716" s="1" t="n">
        <v>44749</v>
      </c>
      <c r="C716" s="1" t="n">
        <v>45831</v>
      </c>
      <c r="D716" t="inlineStr">
        <is>
          <t>VÄSTERBOTTENS LÄN</t>
        </is>
      </c>
      <c r="E716" t="inlineStr">
        <is>
          <t>LYCKSELE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29185-2022</t>
        </is>
      </c>
      <c r="B717" s="1" t="n">
        <v>44750</v>
      </c>
      <c r="C717" s="1" t="n">
        <v>45831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29953-2022</t>
        </is>
      </c>
      <c r="B718" s="1" t="n">
        <v>44756</v>
      </c>
      <c r="C718" s="1" t="n">
        <v>45831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30026-2022</t>
        </is>
      </c>
      <c r="B719" s="1" t="n">
        <v>44756</v>
      </c>
      <c r="C719" s="1" t="n">
        <v>45831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30291-2022</t>
        </is>
      </c>
      <c r="B720" s="1" t="n">
        <v>44760</v>
      </c>
      <c r="C720" s="1" t="n">
        <v>45831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30298-2022</t>
        </is>
      </c>
      <c r="B721" s="1" t="n">
        <v>44760</v>
      </c>
      <c r="C721" s="1" t="n">
        <v>45831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30470-2022</t>
        </is>
      </c>
      <c r="B722" s="1" t="n">
        <v>44761</v>
      </c>
      <c r="C722" s="1" t="n">
        <v>45831</v>
      </c>
      <c r="D722" t="inlineStr">
        <is>
          <t>VÄSTERBOTTENS LÄN</t>
        </is>
      </c>
      <c r="E722" t="inlineStr">
        <is>
          <t>LYCKSELE</t>
        </is>
      </c>
      <c r="G722" t="n">
        <v>11.9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30474-2022</t>
        </is>
      </c>
      <c r="B723" s="1" t="n">
        <v>44761</v>
      </c>
      <c r="C723" s="1" t="n">
        <v>45831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SCA</t>
        </is>
      </c>
      <c r="G723" t="n">
        <v>14.9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30720-2022</t>
        </is>
      </c>
      <c r="B724" s="1" t="n">
        <v>44764</v>
      </c>
      <c r="C724" s="1" t="n">
        <v>45831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30742-2022</t>
        </is>
      </c>
      <c r="B725" s="1" t="n">
        <v>44764</v>
      </c>
      <c r="C725" s="1" t="n">
        <v>45831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31686-2022</t>
        </is>
      </c>
      <c r="B726" s="1" t="n">
        <v>44776</v>
      </c>
      <c r="C726" s="1" t="n">
        <v>45831</v>
      </c>
      <c r="D726" t="inlineStr">
        <is>
          <t>VÄSTERBOTTENS LÄN</t>
        </is>
      </c>
      <c r="E726" t="inlineStr">
        <is>
          <t>LYCKSELE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31913-2022</t>
        </is>
      </c>
      <c r="B727" s="1" t="n">
        <v>44777</v>
      </c>
      <c r="C727" s="1" t="n">
        <v>45831</v>
      </c>
      <c r="D727" t="inlineStr">
        <is>
          <t>VÄSTERBOTTENS LÄN</t>
        </is>
      </c>
      <c r="E727" t="inlineStr">
        <is>
          <t>LYCKSELE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31979-2022</t>
        </is>
      </c>
      <c r="B728" s="1" t="n">
        <v>44777</v>
      </c>
      <c r="C728" s="1" t="n">
        <v>45831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32546-2022</t>
        </is>
      </c>
      <c r="B729" s="1" t="n">
        <v>44783</v>
      </c>
      <c r="C729" s="1" t="n">
        <v>45831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32663-2022</t>
        </is>
      </c>
      <c r="B730" s="1" t="n">
        <v>44783</v>
      </c>
      <c r="C730" s="1" t="n">
        <v>45831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32555-2022</t>
        </is>
      </c>
      <c r="B731" s="1" t="n">
        <v>44783</v>
      </c>
      <c r="C731" s="1" t="n">
        <v>45831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32668-2022</t>
        </is>
      </c>
      <c r="B732" s="1" t="n">
        <v>44783</v>
      </c>
      <c r="C732" s="1" t="n">
        <v>45831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32552-2022</t>
        </is>
      </c>
      <c r="B733" s="1" t="n">
        <v>44783</v>
      </c>
      <c r="C733" s="1" t="n">
        <v>45831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32554-2022</t>
        </is>
      </c>
      <c r="B734" s="1" t="n">
        <v>44783</v>
      </c>
      <c r="C734" s="1" t="n">
        <v>45831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32998-2022</t>
        </is>
      </c>
      <c r="B735" s="1" t="n">
        <v>44784</v>
      </c>
      <c r="C735" s="1" t="n">
        <v>45831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33235-2022</t>
        </is>
      </c>
      <c r="B736" s="1" t="n">
        <v>44786</v>
      </c>
      <c r="C736" s="1" t="n">
        <v>45831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SCA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33478-2022</t>
        </is>
      </c>
      <c r="B737" s="1" t="n">
        <v>44788</v>
      </c>
      <c r="C737" s="1" t="n">
        <v>45831</v>
      </c>
      <c r="D737" t="inlineStr">
        <is>
          <t>VÄSTERBOTTENS LÄN</t>
        </is>
      </c>
      <c r="E737" t="inlineStr">
        <is>
          <t>LYCKSELE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33513-2022</t>
        </is>
      </c>
      <c r="B738" s="1" t="n">
        <v>44788</v>
      </c>
      <c r="C738" s="1" t="n">
        <v>45831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SCA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33726-2022</t>
        </is>
      </c>
      <c r="B739" s="1" t="n">
        <v>44789</v>
      </c>
      <c r="C739" s="1" t="n">
        <v>45831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12.7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34808-2022</t>
        </is>
      </c>
      <c r="B740" s="1" t="n">
        <v>44796</v>
      </c>
      <c r="C740" s="1" t="n">
        <v>45831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35485-2022</t>
        </is>
      </c>
      <c r="B741" s="1" t="n">
        <v>44799</v>
      </c>
      <c r="C741" s="1" t="n">
        <v>45831</v>
      </c>
      <c r="D741" t="inlineStr">
        <is>
          <t>VÄSTERBOTTENS LÄN</t>
        </is>
      </c>
      <c r="E741" t="inlineStr">
        <is>
          <t>LYCKSELE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35490-2022</t>
        </is>
      </c>
      <c r="B742" s="1" t="n">
        <v>44799</v>
      </c>
      <c r="C742" s="1" t="n">
        <v>45831</v>
      </c>
      <c r="D742" t="inlineStr">
        <is>
          <t>VÄSTERBOTTENS LÄN</t>
        </is>
      </c>
      <c r="E742" t="inlineStr">
        <is>
          <t>LYCKSELE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36054-2022</t>
        </is>
      </c>
      <c r="B743" s="1" t="n">
        <v>44802</v>
      </c>
      <c r="C743" s="1" t="n">
        <v>45831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36819-2022</t>
        </is>
      </c>
      <c r="B744" s="1" t="n">
        <v>44805</v>
      </c>
      <c r="C744" s="1" t="n">
        <v>45831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36846-2022</t>
        </is>
      </c>
      <c r="B745" s="1" t="n">
        <v>44805</v>
      </c>
      <c r="C745" s="1" t="n">
        <v>45831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36859-2022</t>
        </is>
      </c>
      <c r="B746" s="1" t="n">
        <v>44805</v>
      </c>
      <c r="C746" s="1" t="n">
        <v>45831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36869-2022</t>
        </is>
      </c>
      <c r="B747" s="1" t="n">
        <v>44805</v>
      </c>
      <c r="C747" s="1" t="n">
        <v>45831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37423-2022</t>
        </is>
      </c>
      <c r="B748" s="1" t="n">
        <v>44809</v>
      </c>
      <c r="C748" s="1" t="n">
        <v>45831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37976-2022</t>
        </is>
      </c>
      <c r="B749" s="1" t="n">
        <v>44811</v>
      </c>
      <c r="C749" s="1" t="n">
        <v>45831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38178-2022</t>
        </is>
      </c>
      <c r="B750" s="1" t="n">
        <v>44812</v>
      </c>
      <c r="C750" s="1" t="n">
        <v>45831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38456-2022</t>
        </is>
      </c>
      <c r="B751" s="1" t="n">
        <v>44813</v>
      </c>
      <c r="C751" s="1" t="n">
        <v>45831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38869-2022</t>
        </is>
      </c>
      <c r="B752" s="1" t="n">
        <v>44816</v>
      </c>
      <c r="C752" s="1" t="n">
        <v>45831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18.1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39404-2022</t>
        </is>
      </c>
      <c r="B753" s="1" t="n">
        <v>44818</v>
      </c>
      <c r="C753" s="1" t="n">
        <v>45831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40262-2022</t>
        </is>
      </c>
      <c r="B754" s="1" t="n">
        <v>44820</v>
      </c>
      <c r="C754" s="1" t="n">
        <v>45831</v>
      </c>
      <c r="D754" t="inlineStr">
        <is>
          <t>VÄSTERBOTTENS LÄN</t>
        </is>
      </c>
      <c r="E754" t="inlineStr">
        <is>
          <t>LYCKSELE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41101-2022</t>
        </is>
      </c>
      <c r="B755" s="1" t="n">
        <v>44820</v>
      </c>
      <c r="C755" s="1" t="n">
        <v>45831</v>
      </c>
      <c r="D755" t="inlineStr">
        <is>
          <t>VÄSTERBOTTENS LÄN</t>
        </is>
      </c>
      <c r="E755" t="inlineStr">
        <is>
          <t>LYCKSELE</t>
        </is>
      </c>
      <c r="G755" t="n">
        <v>13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40497-2022</t>
        </is>
      </c>
      <c r="B756" s="1" t="n">
        <v>44823</v>
      </c>
      <c r="C756" s="1" t="n">
        <v>45831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Naturvårdsverket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41256-2022</t>
        </is>
      </c>
      <c r="B757" s="1" t="n">
        <v>44826</v>
      </c>
      <c r="C757" s="1" t="n">
        <v>45831</v>
      </c>
      <c r="D757" t="inlineStr">
        <is>
          <t>VÄSTERBOTTENS LÄN</t>
        </is>
      </c>
      <c r="E757" t="inlineStr">
        <is>
          <t>LYCKSELE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41280-2022</t>
        </is>
      </c>
      <c r="B758" s="1" t="n">
        <v>44826</v>
      </c>
      <c r="C758" s="1" t="n">
        <v>45831</v>
      </c>
      <c r="D758" t="inlineStr">
        <is>
          <t>VÄSTERBOTTENS LÄN</t>
        </is>
      </c>
      <c r="E758" t="inlineStr">
        <is>
          <t>LYCKSELE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41358-2022</t>
        </is>
      </c>
      <c r="B759" s="1" t="n">
        <v>44826</v>
      </c>
      <c r="C759" s="1" t="n">
        <v>45831</v>
      </c>
      <c r="D759" t="inlineStr">
        <is>
          <t>VÄSTERBOTTENS LÄN</t>
        </is>
      </c>
      <c r="E759" t="inlineStr">
        <is>
          <t>LYCKSELE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41419-2022</t>
        </is>
      </c>
      <c r="B760" s="1" t="n">
        <v>44826</v>
      </c>
      <c r="C760" s="1" t="n">
        <v>45831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Naturvårdsverket</t>
        </is>
      </c>
      <c r="G760" t="n">
        <v>32.1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41992-2022</t>
        </is>
      </c>
      <c r="B761" s="1" t="n">
        <v>44830</v>
      </c>
      <c r="C761" s="1" t="n">
        <v>45831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42190-2022</t>
        </is>
      </c>
      <c r="B762" s="1" t="n">
        <v>44830</v>
      </c>
      <c r="C762" s="1" t="n">
        <v>45831</v>
      </c>
      <c r="D762" t="inlineStr">
        <is>
          <t>VÄSTERBOTTENS LÄN</t>
        </is>
      </c>
      <c r="E762" t="inlineStr">
        <is>
          <t>LYCKSELE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42208-2022</t>
        </is>
      </c>
      <c r="B763" s="1" t="n">
        <v>44830</v>
      </c>
      <c r="C763" s="1" t="n">
        <v>45831</v>
      </c>
      <c r="D763" t="inlineStr">
        <is>
          <t>VÄSTERBOTTENS LÄN</t>
        </is>
      </c>
      <c r="E763" t="inlineStr">
        <is>
          <t>LYCKSELE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42195-2022</t>
        </is>
      </c>
      <c r="B764" s="1" t="n">
        <v>44830</v>
      </c>
      <c r="C764" s="1" t="n">
        <v>45831</v>
      </c>
      <c r="D764" t="inlineStr">
        <is>
          <t>VÄSTERBOTTENS LÄN</t>
        </is>
      </c>
      <c r="E764" t="inlineStr">
        <is>
          <t>LYCKSELE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42216-2022</t>
        </is>
      </c>
      <c r="B765" s="1" t="n">
        <v>44830</v>
      </c>
      <c r="C765" s="1" t="n">
        <v>45831</v>
      </c>
      <c r="D765" t="inlineStr">
        <is>
          <t>VÄSTERBOTTENS LÄN</t>
        </is>
      </c>
      <c r="E765" t="inlineStr">
        <is>
          <t>LYCKSELE</t>
        </is>
      </c>
      <c r="G765" t="n">
        <v>15.9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43328-2022</t>
        </is>
      </c>
      <c r="B766" s="1" t="n">
        <v>44834</v>
      </c>
      <c r="C766" s="1" t="n">
        <v>45831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22.2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43556-2022</t>
        </is>
      </c>
      <c r="B767" s="1" t="n">
        <v>44837</v>
      </c>
      <c r="C767" s="1" t="n">
        <v>45831</v>
      </c>
      <c r="D767" t="inlineStr">
        <is>
          <t>VÄSTERBOTTENS LÄN</t>
        </is>
      </c>
      <c r="E767" t="inlineStr">
        <is>
          <t>LYCKSELE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44097-2022</t>
        </is>
      </c>
      <c r="B768" s="1" t="n">
        <v>44839</v>
      </c>
      <c r="C768" s="1" t="n">
        <v>45831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44139-2022</t>
        </is>
      </c>
      <c r="B769" s="1" t="n">
        <v>44839</v>
      </c>
      <c r="C769" s="1" t="n">
        <v>45831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Naturvårdsverket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44394-2022</t>
        </is>
      </c>
      <c r="B770" s="1" t="n">
        <v>44839</v>
      </c>
      <c r="C770" s="1" t="n">
        <v>45831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44581-2022</t>
        </is>
      </c>
      <c r="B771" s="1" t="n">
        <v>44840</v>
      </c>
      <c r="C771" s="1" t="n">
        <v>45831</v>
      </c>
      <c r="D771" t="inlineStr">
        <is>
          <t>VÄSTERBOTTENS LÄN</t>
        </is>
      </c>
      <c r="E771" t="inlineStr">
        <is>
          <t>LYCKSELE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44465-2022</t>
        </is>
      </c>
      <c r="B772" s="1" t="n">
        <v>44840</v>
      </c>
      <c r="C772" s="1" t="n">
        <v>45831</v>
      </c>
      <c r="D772" t="inlineStr">
        <is>
          <t>VÄSTERBOTTENS LÄN</t>
        </is>
      </c>
      <c r="E772" t="inlineStr">
        <is>
          <t>LYCKSELE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44479-2022</t>
        </is>
      </c>
      <c r="B773" s="1" t="n">
        <v>44840</v>
      </c>
      <c r="C773" s="1" t="n">
        <v>45831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44619-2022</t>
        </is>
      </c>
      <c r="B774" s="1" t="n">
        <v>44840</v>
      </c>
      <c r="C774" s="1" t="n">
        <v>45831</v>
      </c>
      <c r="D774" t="inlineStr">
        <is>
          <t>VÄSTERBOTTENS LÄN</t>
        </is>
      </c>
      <c r="E774" t="inlineStr">
        <is>
          <t>LYCKSELE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45180-2022</t>
        </is>
      </c>
      <c r="B775" s="1" t="n">
        <v>44844</v>
      </c>
      <c r="C775" s="1" t="n">
        <v>45831</v>
      </c>
      <c r="D775" t="inlineStr">
        <is>
          <t>VÄSTERBOTTENS LÄN</t>
        </is>
      </c>
      <c r="E775" t="inlineStr">
        <is>
          <t>LYCKSELE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45559-2022</t>
        </is>
      </c>
      <c r="B776" s="1" t="n">
        <v>44845</v>
      </c>
      <c r="C776" s="1" t="n">
        <v>45831</v>
      </c>
      <c r="D776" t="inlineStr">
        <is>
          <t>VÄSTERBOTTENS LÄN</t>
        </is>
      </c>
      <c r="E776" t="inlineStr">
        <is>
          <t>LYCKSELE</t>
        </is>
      </c>
      <c r="G776" t="n">
        <v>17.8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45661-2022</t>
        </is>
      </c>
      <c r="B777" s="1" t="n">
        <v>44845</v>
      </c>
      <c r="C777" s="1" t="n">
        <v>45831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45863-2022</t>
        </is>
      </c>
      <c r="B778" s="1" t="n">
        <v>44846</v>
      </c>
      <c r="C778" s="1" t="n">
        <v>45831</v>
      </c>
      <c r="D778" t="inlineStr">
        <is>
          <t>VÄSTERBOTTENS LÄN</t>
        </is>
      </c>
      <c r="E778" t="inlineStr">
        <is>
          <t>LYCKSELE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45964-2022</t>
        </is>
      </c>
      <c r="B779" s="1" t="n">
        <v>44846</v>
      </c>
      <c r="C779" s="1" t="n">
        <v>45831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45903-2022</t>
        </is>
      </c>
      <c r="B780" s="1" t="n">
        <v>44846</v>
      </c>
      <c r="C780" s="1" t="n">
        <v>45831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45906-2022</t>
        </is>
      </c>
      <c r="B781" s="1" t="n">
        <v>44846</v>
      </c>
      <c r="C781" s="1" t="n">
        <v>45831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46474-2022</t>
        </is>
      </c>
      <c r="B782" s="1" t="n">
        <v>44846</v>
      </c>
      <c r="C782" s="1" t="n">
        <v>45831</v>
      </c>
      <c r="D782" t="inlineStr">
        <is>
          <t>VÄSTERBOTTENS LÄN</t>
        </is>
      </c>
      <c r="E782" t="inlineStr">
        <is>
          <t>LYCKSELE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46541-2022</t>
        </is>
      </c>
      <c r="B783" s="1" t="n">
        <v>44847</v>
      </c>
      <c r="C783" s="1" t="n">
        <v>45831</v>
      </c>
      <c r="D783" t="inlineStr">
        <is>
          <t>VÄSTERBOTTENS LÄN</t>
        </is>
      </c>
      <c r="E783" t="inlineStr">
        <is>
          <t>LYCKSELE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47016-2022</t>
        </is>
      </c>
      <c r="B784" s="1" t="n">
        <v>44851</v>
      </c>
      <c r="C784" s="1" t="n">
        <v>45831</v>
      </c>
      <c r="D784" t="inlineStr">
        <is>
          <t>VÄSTERBOTTENS LÄN</t>
        </is>
      </c>
      <c r="E784" t="inlineStr">
        <is>
          <t>LYCKSELE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47712-2022</t>
        </is>
      </c>
      <c r="B785" s="1" t="n">
        <v>44854</v>
      </c>
      <c r="C785" s="1" t="n">
        <v>45831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47727-2022</t>
        </is>
      </c>
      <c r="B786" s="1" t="n">
        <v>44854</v>
      </c>
      <c r="C786" s="1" t="n">
        <v>45831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48071-2022</t>
        </is>
      </c>
      <c r="B787" s="1" t="n">
        <v>44856</v>
      </c>
      <c r="C787" s="1" t="n">
        <v>45831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SCA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48077-2022</t>
        </is>
      </c>
      <c r="B788" s="1" t="n">
        <v>44856</v>
      </c>
      <c r="C788" s="1" t="n">
        <v>45831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48678-2022</t>
        </is>
      </c>
      <c r="B789" s="1" t="n">
        <v>44859</v>
      </c>
      <c r="C789" s="1" t="n">
        <v>45831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48890-2022</t>
        </is>
      </c>
      <c r="B790" s="1" t="n">
        <v>44859</v>
      </c>
      <c r="C790" s="1" t="n">
        <v>45831</v>
      </c>
      <c r="D790" t="inlineStr">
        <is>
          <t>VÄSTERBOTTENS LÄN</t>
        </is>
      </c>
      <c r="E790" t="inlineStr">
        <is>
          <t>LYCKSELE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49514-2022</t>
        </is>
      </c>
      <c r="B791" s="1" t="n">
        <v>44861</v>
      </c>
      <c r="C791" s="1" t="n">
        <v>45831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49341-2022</t>
        </is>
      </c>
      <c r="B792" s="1" t="n">
        <v>44861</v>
      </c>
      <c r="C792" s="1" t="n">
        <v>45831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29.1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51392-2022</t>
        </is>
      </c>
      <c r="B793" s="1" t="n">
        <v>44866</v>
      </c>
      <c r="C793" s="1" t="n">
        <v>45831</v>
      </c>
      <c r="D793" t="inlineStr">
        <is>
          <t>VÄSTERBOTTENS LÄN</t>
        </is>
      </c>
      <c r="E793" t="inlineStr">
        <is>
          <t>LYCKSELE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51387-2022</t>
        </is>
      </c>
      <c r="B794" s="1" t="n">
        <v>44866</v>
      </c>
      <c r="C794" s="1" t="n">
        <v>45831</v>
      </c>
      <c r="D794" t="inlineStr">
        <is>
          <t>VÄSTERBOTTENS LÄN</t>
        </is>
      </c>
      <c r="E794" t="inlineStr">
        <is>
          <t>LYCKSELE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50779-2022</t>
        </is>
      </c>
      <c r="B795" s="1" t="n">
        <v>44867</v>
      </c>
      <c r="C795" s="1" t="n">
        <v>45831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50973-2022</t>
        </is>
      </c>
      <c r="B796" s="1" t="n">
        <v>44867</v>
      </c>
      <c r="C796" s="1" t="n">
        <v>45831</v>
      </c>
      <c r="D796" t="inlineStr">
        <is>
          <t>VÄSTERBOTTENS LÄN</t>
        </is>
      </c>
      <c r="E796" t="inlineStr">
        <is>
          <t>LYCKSELE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52186-2022</t>
        </is>
      </c>
      <c r="B797" s="1" t="n">
        <v>44873</v>
      </c>
      <c r="C797" s="1" t="n">
        <v>45831</v>
      </c>
      <c r="D797" t="inlineStr">
        <is>
          <t>VÄSTERBOTTENS LÄN</t>
        </is>
      </c>
      <c r="E797" t="inlineStr">
        <is>
          <t>LYCKSELE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52370-2022</t>
        </is>
      </c>
      <c r="B798" s="1" t="n">
        <v>44874</v>
      </c>
      <c r="C798" s="1" t="n">
        <v>45831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53389-2022</t>
        </is>
      </c>
      <c r="B799" s="1" t="n">
        <v>44874</v>
      </c>
      <c r="C799" s="1" t="n">
        <v>45831</v>
      </c>
      <c r="D799" t="inlineStr">
        <is>
          <t>VÄSTERBOTTENS LÄN</t>
        </is>
      </c>
      <c r="E799" t="inlineStr">
        <is>
          <t>LYCKSELE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53369-2022</t>
        </is>
      </c>
      <c r="B800" s="1" t="n">
        <v>44874</v>
      </c>
      <c r="C800" s="1" t="n">
        <v>45831</v>
      </c>
      <c r="D800" t="inlineStr">
        <is>
          <t>VÄSTERBOTTENS LÄN</t>
        </is>
      </c>
      <c r="E800" t="inlineStr">
        <is>
          <t>LYCKSELE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52886-2022</t>
        </is>
      </c>
      <c r="B801" s="1" t="n">
        <v>44875</v>
      </c>
      <c r="C801" s="1" t="n">
        <v>45831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53027-2022</t>
        </is>
      </c>
      <c r="B802" s="1" t="n">
        <v>44875</v>
      </c>
      <c r="C802" s="1" t="n">
        <v>45831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52956-2022</t>
        </is>
      </c>
      <c r="B803" s="1" t="n">
        <v>44875</v>
      </c>
      <c r="C803" s="1" t="n">
        <v>45831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53226-2022</t>
        </is>
      </c>
      <c r="B804" s="1" t="n">
        <v>44876</v>
      </c>
      <c r="C804" s="1" t="n">
        <v>45831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10.5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53241-2022</t>
        </is>
      </c>
      <c r="B805" s="1" t="n">
        <v>44876</v>
      </c>
      <c r="C805" s="1" t="n">
        <v>45831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53740-2022</t>
        </is>
      </c>
      <c r="B806" s="1" t="n">
        <v>44880</v>
      </c>
      <c r="C806" s="1" t="n">
        <v>45831</v>
      </c>
      <c r="D806" t="inlineStr">
        <is>
          <t>VÄSTERBOTTENS LÄN</t>
        </is>
      </c>
      <c r="E806" t="inlineStr">
        <is>
          <t>LYCKSELE</t>
        </is>
      </c>
      <c r="G806" t="n">
        <v>10.5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53919-2022</t>
        </is>
      </c>
      <c r="B807" s="1" t="n">
        <v>44880</v>
      </c>
      <c r="C807" s="1" t="n">
        <v>45831</v>
      </c>
      <c r="D807" t="inlineStr">
        <is>
          <t>VÄSTERBOTTENS LÄN</t>
        </is>
      </c>
      <c r="E807" t="inlineStr">
        <is>
          <t>LYCKSELE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54167-2022</t>
        </is>
      </c>
      <c r="B808" s="1" t="n">
        <v>44881</v>
      </c>
      <c r="C808" s="1" t="n">
        <v>45831</v>
      </c>
      <c r="D808" t="inlineStr">
        <is>
          <t>VÄSTERBOTTENS LÄN</t>
        </is>
      </c>
      <c r="E808" t="inlineStr">
        <is>
          <t>LYCKSELE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54288-2022</t>
        </is>
      </c>
      <c r="B809" s="1" t="n">
        <v>44882</v>
      </c>
      <c r="C809" s="1" t="n">
        <v>45831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55328-2022</t>
        </is>
      </c>
      <c r="B810" s="1" t="n">
        <v>44882</v>
      </c>
      <c r="C810" s="1" t="n">
        <v>45831</v>
      </c>
      <c r="D810" t="inlineStr">
        <is>
          <t>VÄSTERBOTTENS LÄN</t>
        </is>
      </c>
      <c r="E810" t="inlineStr">
        <is>
          <t>LYCKSELE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55334-2022</t>
        </is>
      </c>
      <c r="B811" s="1" t="n">
        <v>44882</v>
      </c>
      <c r="C811" s="1" t="n">
        <v>45831</v>
      </c>
      <c r="D811" t="inlineStr">
        <is>
          <t>VÄSTERBOTTENS LÄN</t>
        </is>
      </c>
      <c r="E811" t="inlineStr">
        <is>
          <t>LYCKSELE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54687-2022</t>
        </is>
      </c>
      <c r="B812" s="1" t="n">
        <v>44883</v>
      </c>
      <c r="C812" s="1" t="n">
        <v>45831</v>
      </c>
      <c r="D812" t="inlineStr">
        <is>
          <t>VÄSTERBOTTENS LÄN</t>
        </is>
      </c>
      <c r="E812" t="inlineStr">
        <is>
          <t>LYCKSELE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55170-2022</t>
        </is>
      </c>
      <c r="B813" s="1" t="n">
        <v>44886</v>
      </c>
      <c r="C813" s="1" t="n">
        <v>45831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55263-2022</t>
        </is>
      </c>
      <c r="B814" s="1" t="n">
        <v>44887</v>
      </c>
      <c r="C814" s="1" t="n">
        <v>45831</v>
      </c>
      <c r="D814" t="inlineStr">
        <is>
          <t>VÄSTERBOTTENS LÄN</t>
        </is>
      </c>
      <c r="E814" t="inlineStr">
        <is>
          <t>LYCKSELE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55456-2022</t>
        </is>
      </c>
      <c r="B815" s="1" t="n">
        <v>44887</v>
      </c>
      <c r="C815" s="1" t="n">
        <v>45831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55582-2022</t>
        </is>
      </c>
      <c r="B816" s="1" t="n">
        <v>44888</v>
      </c>
      <c r="C816" s="1" t="n">
        <v>45831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55798-2022</t>
        </is>
      </c>
      <c r="B817" s="1" t="n">
        <v>44888</v>
      </c>
      <c r="C817" s="1" t="n">
        <v>45831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55641-2022</t>
        </is>
      </c>
      <c r="B818" s="1" t="n">
        <v>44888</v>
      </c>
      <c r="C818" s="1" t="n">
        <v>45831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Holmen skog AB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56804-2022</t>
        </is>
      </c>
      <c r="B819" s="1" t="n">
        <v>44888</v>
      </c>
      <c r="C819" s="1" t="n">
        <v>45831</v>
      </c>
      <c r="D819" t="inlineStr">
        <is>
          <t>VÄSTERBOTTENS LÄN</t>
        </is>
      </c>
      <c r="E819" t="inlineStr">
        <is>
          <t>LYCKSELE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56046-2022</t>
        </is>
      </c>
      <c r="B820" s="1" t="n">
        <v>44889</v>
      </c>
      <c r="C820" s="1" t="n">
        <v>45831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56055-2022</t>
        </is>
      </c>
      <c r="B821" s="1" t="n">
        <v>44889</v>
      </c>
      <c r="C821" s="1" t="n">
        <v>45831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56343-2022</t>
        </is>
      </c>
      <c r="B822" s="1" t="n">
        <v>44890</v>
      </c>
      <c r="C822" s="1" t="n">
        <v>45831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56973-2022</t>
        </is>
      </c>
      <c r="B823" s="1" t="n">
        <v>44894</v>
      </c>
      <c r="C823" s="1" t="n">
        <v>45831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Holmen skog AB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57198-2022</t>
        </is>
      </c>
      <c r="B824" s="1" t="n">
        <v>44895</v>
      </c>
      <c r="C824" s="1" t="n">
        <v>45831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57252-2022</t>
        </is>
      </c>
      <c r="B825" s="1" t="n">
        <v>44895</v>
      </c>
      <c r="C825" s="1" t="n">
        <v>45831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58915-2022</t>
        </is>
      </c>
      <c r="B826" s="1" t="n">
        <v>44896</v>
      </c>
      <c r="C826" s="1" t="n">
        <v>45831</v>
      </c>
      <c r="D826" t="inlineStr">
        <is>
          <t>VÄSTERBOTTENS LÄN</t>
        </is>
      </c>
      <c r="E826" t="inlineStr">
        <is>
          <t>LYCKSELE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58920-2022</t>
        </is>
      </c>
      <c r="B827" s="1" t="n">
        <v>44896</v>
      </c>
      <c r="C827" s="1" t="n">
        <v>45831</v>
      </c>
      <c r="D827" t="inlineStr">
        <is>
          <t>VÄSTERBOTTENS LÄN</t>
        </is>
      </c>
      <c r="E827" t="inlineStr">
        <is>
          <t>LYCKSELE</t>
        </is>
      </c>
      <c r="G827" t="n">
        <v>20.5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59554-2022</t>
        </is>
      </c>
      <c r="B828" s="1" t="n">
        <v>44900</v>
      </c>
      <c r="C828" s="1" t="n">
        <v>45831</v>
      </c>
      <c r="D828" t="inlineStr">
        <is>
          <t>VÄSTERBOTTENS LÄN</t>
        </is>
      </c>
      <c r="E828" t="inlineStr">
        <is>
          <t>LYCKSELE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59566-2022</t>
        </is>
      </c>
      <c r="B829" s="1" t="n">
        <v>44900</v>
      </c>
      <c r="C829" s="1" t="n">
        <v>45831</v>
      </c>
      <c r="D829" t="inlineStr">
        <is>
          <t>VÄSTERBOTTENS LÄN</t>
        </is>
      </c>
      <c r="E829" t="inlineStr">
        <is>
          <t>LYCKSELE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59559-2022</t>
        </is>
      </c>
      <c r="B830" s="1" t="n">
        <v>44900</v>
      </c>
      <c r="C830" s="1" t="n">
        <v>45831</v>
      </c>
      <c r="D830" t="inlineStr">
        <is>
          <t>VÄSTERBOTTENS LÄN</t>
        </is>
      </c>
      <c r="E830" t="inlineStr">
        <is>
          <t>LYCKSELE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58439-2022</t>
        </is>
      </c>
      <c r="B831" s="1" t="n">
        <v>44901</v>
      </c>
      <c r="C831" s="1" t="n">
        <v>45831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58440-2022</t>
        </is>
      </c>
      <c r="B832" s="1" t="n">
        <v>44901</v>
      </c>
      <c r="C832" s="1" t="n">
        <v>45831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58594-2022</t>
        </is>
      </c>
      <c r="B833" s="1" t="n">
        <v>44902</v>
      </c>
      <c r="C833" s="1" t="n">
        <v>45831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58872-2022</t>
        </is>
      </c>
      <c r="B834" s="1" t="n">
        <v>44903</v>
      </c>
      <c r="C834" s="1" t="n">
        <v>45831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58961-2022</t>
        </is>
      </c>
      <c r="B835" s="1" t="n">
        <v>44903</v>
      </c>
      <c r="C835" s="1" t="n">
        <v>45831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58975-2022</t>
        </is>
      </c>
      <c r="B836" s="1" t="n">
        <v>44903</v>
      </c>
      <c r="C836" s="1" t="n">
        <v>45831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58854-2022</t>
        </is>
      </c>
      <c r="B837" s="1" t="n">
        <v>44903</v>
      </c>
      <c r="C837" s="1" t="n">
        <v>45831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59031-2022</t>
        </is>
      </c>
      <c r="B838" s="1" t="n">
        <v>44903</v>
      </c>
      <c r="C838" s="1" t="n">
        <v>45831</v>
      </c>
      <c r="D838" t="inlineStr">
        <is>
          <t>VÄSTERBOTTENS LÄN</t>
        </is>
      </c>
      <c r="E838" t="inlineStr">
        <is>
          <t>LYCKSELE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59102-2022</t>
        </is>
      </c>
      <c r="B839" s="1" t="n">
        <v>44904</v>
      </c>
      <c r="C839" s="1" t="n">
        <v>45831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59272-2022</t>
        </is>
      </c>
      <c r="B840" s="1" t="n">
        <v>44904</v>
      </c>
      <c r="C840" s="1" t="n">
        <v>45831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59330-2022</t>
        </is>
      </c>
      <c r="B841" s="1" t="n">
        <v>44904</v>
      </c>
      <c r="C841" s="1" t="n">
        <v>45831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59287-2022</t>
        </is>
      </c>
      <c r="B842" s="1" t="n">
        <v>44904</v>
      </c>
      <c r="C842" s="1" t="n">
        <v>45831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59329-2022</t>
        </is>
      </c>
      <c r="B843" s="1" t="n">
        <v>44904</v>
      </c>
      <c r="C843" s="1" t="n">
        <v>45831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59653-2022</t>
        </is>
      </c>
      <c r="B844" s="1" t="n">
        <v>44907</v>
      </c>
      <c r="C844" s="1" t="n">
        <v>45831</v>
      </c>
      <c r="D844" t="inlineStr">
        <is>
          <t>VÄSTERBOTTENS LÄN</t>
        </is>
      </c>
      <c r="E844" t="inlineStr">
        <is>
          <t>LYCKSELE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60859-2022</t>
        </is>
      </c>
      <c r="B845" s="1" t="n">
        <v>44908</v>
      </c>
      <c r="C845" s="1" t="n">
        <v>45831</v>
      </c>
      <c r="D845" t="inlineStr">
        <is>
          <t>VÄSTERBOTTENS LÄN</t>
        </is>
      </c>
      <c r="E845" t="inlineStr">
        <is>
          <t>LYCKSELE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60857-2022</t>
        </is>
      </c>
      <c r="B846" s="1" t="n">
        <v>44908</v>
      </c>
      <c r="C846" s="1" t="n">
        <v>45831</v>
      </c>
      <c r="D846" t="inlineStr">
        <is>
          <t>VÄSTERBOTTENS LÄN</t>
        </is>
      </c>
      <c r="E846" t="inlineStr">
        <is>
          <t>LYCKSELE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60117-2022</t>
        </is>
      </c>
      <c r="B847" s="1" t="n">
        <v>44909</v>
      </c>
      <c r="C847" s="1" t="n">
        <v>45831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60122-2022</t>
        </is>
      </c>
      <c r="B848" s="1" t="n">
        <v>44909</v>
      </c>
      <c r="C848" s="1" t="n">
        <v>45831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60131-2022</t>
        </is>
      </c>
      <c r="B849" s="1" t="n">
        <v>44909</v>
      </c>
      <c r="C849" s="1" t="n">
        <v>45831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60143-2022</t>
        </is>
      </c>
      <c r="B850" s="1" t="n">
        <v>44909</v>
      </c>
      <c r="C850" s="1" t="n">
        <v>45831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61281-2022</t>
        </is>
      </c>
      <c r="B851" s="1" t="n">
        <v>44909</v>
      </c>
      <c r="C851" s="1" t="n">
        <v>45831</v>
      </c>
      <c r="D851" t="inlineStr">
        <is>
          <t>VÄSTERBOTTENS LÄN</t>
        </is>
      </c>
      <c r="E851" t="inlineStr">
        <is>
          <t>LYCKSELE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61277-2022</t>
        </is>
      </c>
      <c r="B852" s="1" t="n">
        <v>44909</v>
      </c>
      <c r="C852" s="1" t="n">
        <v>45831</v>
      </c>
      <c r="D852" t="inlineStr">
        <is>
          <t>VÄSTERBOTTENS LÄN</t>
        </is>
      </c>
      <c r="E852" t="inlineStr">
        <is>
          <t>LYCKSELE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60267-2022</t>
        </is>
      </c>
      <c r="B853" s="1" t="n">
        <v>44910</v>
      </c>
      <c r="C853" s="1" t="n">
        <v>45831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60226-2022</t>
        </is>
      </c>
      <c r="B854" s="1" t="n">
        <v>44910</v>
      </c>
      <c r="C854" s="1" t="n">
        <v>45831</v>
      </c>
      <c r="D854" t="inlineStr">
        <is>
          <t>VÄSTERBOTTENS LÄN</t>
        </is>
      </c>
      <c r="E854" t="inlineStr">
        <is>
          <t>LYCKSELE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60330-2022</t>
        </is>
      </c>
      <c r="B855" s="1" t="n">
        <v>44910</v>
      </c>
      <c r="C855" s="1" t="n">
        <v>45831</v>
      </c>
      <c r="D855" t="inlineStr">
        <is>
          <t>VÄSTERBOTTENS LÄN</t>
        </is>
      </c>
      <c r="E855" t="inlineStr">
        <is>
          <t>LYCKSELE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60387-2022</t>
        </is>
      </c>
      <c r="B856" s="1" t="n">
        <v>44910</v>
      </c>
      <c r="C856" s="1" t="n">
        <v>45831</v>
      </c>
      <c r="D856" t="inlineStr">
        <is>
          <t>VÄSTERBOTTENS LÄN</t>
        </is>
      </c>
      <c r="E856" t="inlineStr">
        <is>
          <t>LYCKSELE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60272-2022</t>
        </is>
      </c>
      <c r="B857" s="1" t="n">
        <v>44910</v>
      </c>
      <c r="C857" s="1" t="n">
        <v>45831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60685-2022</t>
        </is>
      </c>
      <c r="B858" s="1" t="n">
        <v>44911</v>
      </c>
      <c r="C858" s="1" t="n">
        <v>45831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60570-2022</t>
        </is>
      </c>
      <c r="B859" s="1" t="n">
        <v>44911</v>
      </c>
      <c r="C859" s="1" t="n">
        <v>45831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17.4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61799-2022</t>
        </is>
      </c>
      <c r="B860" s="1" t="n">
        <v>44911</v>
      </c>
      <c r="C860" s="1" t="n">
        <v>45831</v>
      </c>
      <c r="D860" t="inlineStr">
        <is>
          <t>VÄSTERBOTTENS LÄN</t>
        </is>
      </c>
      <c r="E860" t="inlineStr">
        <is>
          <t>LYCKSELE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60714-2022</t>
        </is>
      </c>
      <c r="B861" s="1" t="n">
        <v>44912</v>
      </c>
      <c r="C861" s="1" t="n">
        <v>45831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60723-2022</t>
        </is>
      </c>
      <c r="B862" s="1" t="n">
        <v>44913</v>
      </c>
      <c r="C862" s="1" t="n">
        <v>45831</v>
      </c>
      <c r="D862" t="inlineStr">
        <is>
          <t>VÄSTERBOTTENS LÄN</t>
        </is>
      </c>
      <c r="E862" t="inlineStr">
        <is>
          <t>LYCKSELE</t>
        </is>
      </c>
      <c r="G862" t="n">
        <v>14.9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61131-2022</t>
        </is>
      </c>
      <c r="B863" s="1" t="n">
        <v>44915</v>
      </c>
      <c r="C863" s="1" t="n">
        <v>45831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61390-2022</t>
        </is>
      </c>
      <c r="B864" s="1" t="n">
        <v>44915</v>
      </c>
      <c r="C864" s="1" t="n">
        <v>45831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61651-2022</t>
        </is>
      </c>
      <c r="B865" s="1" t="n">
        <v>44916</v>
      </c>
      <c r="C865" s="1" t="n">
        <v>45831</v>
      </c>
      <c r="D865" t="inlineStr">
        <is>
          <t>VÄSTERBOTTENS LÄN</t>
        </is>
      </c>
      <c r="E865" t="inlineStr">
        <is>
          <t>LYCKSELE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61829-2022</t>
        </is>
      </c>
      <c r="B866" s="1" t="n">
        <v>44917</v>
      </c>
      <c r="C866" s="1" t="n">
        <v>45831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61837-2022</t>
        </is>
      </c>
      <c r="B867" s="1" t="n">
        <v>44917</v>
      </c>
      <c r="C867" s="1" t="n">
        <v>45831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62678-2022</t>
        </is>
      </c>
      <c r="B868" s="1" t="n">
        <v>44917</v>
      </c>
      <c r="C868" s="1" t="n">
        <v>45831</v>
      </c>
      <c r="D868" t="inlineStr">
        <is>
          <t>VÄSTERBOTTENS LÄN</t>
        </is>
      </c>
      <c r="E868" t="inlineStr">
        <is>
          <t>LYCKSELE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155-2023</t>
        </is>
      </c>
      <c r="B869" s="1" t="n">
        <v>44921</v>
      </c>
      <c r="C869" s="1" t="n">
        <v>45831</v>
      </c>
      <c r="D869" t="inlineStr">
        <is>
          <t>VÄSTERBOTTENS LÄN</t>
        </is>
      </c>
      <c r="E869" t="inlineStr">
        <is>
          <t>LYCKSELE</t>
        </is>
      </c>
      <c r="G869" t="n">
        <v>27.3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161-2023</t>
        </is>
      </c>
      <c r="B870" s="1" t="n">
        <v>44921</v>
      </c>
      <c r="C870" s="1" t="n">
        <v>45831</v>
      </c>
      <c r="D870" t="inlineStr">
        <is>
          <t>VÄSTERBOTTENS LÄN</t>
        </is>
      </c>
      <c r="E870" t="inlineStr">
        <is>
          <t>LYCKSELE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62547-2022</t>
        </is>
      </c>
      <c r="B871" s="1" t="n">
        <v>44924</v>
      </c>
      <c r="C871" s="1" t="n">
        <v>45831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408-2023</t>
        </is>
      </c>
      <c r="B872" s="1" t="n">
        <v>44924</v>
      </c>
      <c r="C872" s="1" t="n">
        <v>45831</v>
      </c>
      <c r="D872" t="inlineStr">
        <is>
          <t>VÄSTERBOTTENS LÄN</t>
        </is>
      </c>
      <c r="E872" t="inlineStr">
        <is>
          <t>LYCKSELE</t>
        </is>
      </c>
      <c r="G872" t="n">
        <v>11.9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62584-2022</t>
        </is>
      </c>
      <c r="B873" s="1" t="n">
        <v>44924</v>
      </c>
      <c r="C873" s="1" t="n">
        <v>45831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62586-2022</t>
        </is>
      </c>
      <c r="B874" s="1" t="n">
        <v>44924</v>
      </c>
      <c r="C874" s="1" t="n">
        <v>45831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62715-2022</t>
        </is>
      </c>
      <c r="B875" s="1" t="n">
        <v>44925</v>
      </c>
      <c r="C875" s="1" t="n">
        <v>45831</v>
      </c>
      <c r="D875" t="inlineStr">
        <is>
          <t>VÄSTERBOTTENS LÄN</t>
        </is>
      </c>
      <c r="E875" t="inlineStr">
        <is>
          <t>LYCKSELE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326-2023</t>
        </is>
      </c>
      <c r="B876" s="1" t="n">
        <v>44929</v>
      </c>
      <c r="C876" s="1" t="n">
        <v>45831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705-2023</t>
        </is>
      </c>
      <c r="B877" s="1" t="n">
        <v>44930</v>
      </c>
      <c r="C877" s="1" t="n">
        <v>45831</v>
      </c>
      <c r="D877" t="inlineStr">
        <is>
          <t>VÄSTERBOTTENS LÄN</t>
        </is>
      </c>
      <c r="E877" t="inlineStr">
        <is>
          <t>LYCKSELE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542-2023</t>
        </is>
      </c>
      <c r="B878" s="1" t="n">
        <v>44930</v>
      </c>
      <c r="C878" s="1" t="n">
        <v>45831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605-2023</t>
        </is>
      </c>
      <c r="B879" s="1" t="n">
        <v>44930</v>
      </c>
      <c r="C879" s="1" t="n">
        <v>45831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778-2023</t>
        </is>
      </c>
      <c r="B880" s="1" t="n">
        <v>44931</v>
      </c>
      <c r="C880" s="1" t="n">
        <v>45831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936-2023</t>
        </is>
      </c>
      <c r="B881" s="1" t="n">
        <v>44933</v>
      </c>
      <c r="C881" s="1" t="n">
        <v>45831</v>
      </c>
      <c r="D881" t="inlineStr">
        <is>
          <t>VÄSTERBOTTENS LÄN</t>
        </is>
      </c>
      <c r="E881" t="inlineStr">
        <is>
          <t>LYCKSELE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960-2023</t>
        </is>
      </c>
      <c r="B882" s="1" t="n">
        <v>44934</v>
      </c>
      <c r="C882" s="1" t="n">
        <v>45831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957-2023</t>
        </is>
      </c>
      <c r="B883" s="1" t="n">
        <v>44934</v>
      </c>
      <c r="C883" s="1" t="n">
        <v>45831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1276-2023</t>
        </is>
      </c>
      <c r="B884" s="1" t="n">
        <v>44936</v>
      </c>
      <c r="C884" s="1" t="n">
        <v>45831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1317-2023</t>
        </is>
      </c>
      <c r="B885" s="1" t="n">
        <v>44936</v>
      </c>
      <c r="C885" s="1" t="n">
        <v>45831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2191-2023</t>
        </is>
      </c>
      <c r="B886" s="1" t="n">
        <v>44942</v>
      </c>
      <c r="C886" s="1" t="n">
        <v>45831</v>
      </c>
      <c r="D886" t="inlineStr">
        <is>
          <t>VÄSTERBOTTENS LÄN</t>
        </is>
      </c>
      <c r="E886" t="inlineStr">
        <is>
          <t>LYCKSELE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2193-2023</t>
        </is>
      </c>
      <c r="B887" s="1" t="n">
        <v>44942</v>
      </c>
      <c r="C887" s="1" t="n">
        <v>45831</v>
      </c>
      <c r="D887" t="inlineStr">
        <is>
          <t>VÄSTERBOTTENS LÄN</t>
        </is>
      </c>
      <c r="E887" t="inlineStr">
        <is>
          <t>LYCKSELE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2758-2023</t>
        </is>
      </c>
      <c r="B888" s="1" t="n">
        <v>44943</v>
      </c>
      <c r="C888" s="1" t="n">
        <v>45831</v>
      </c>
      <c r="D888" t="inlineStr">
        <is>
          <t>VÄSTERBOTTENS LÄN</t>
        </is>
      </c>
      <c r="E888" t="inlineStr">
        <is>
          <t>LYCKSELE</t>
        </is>
      </c>
      <c r="G888" t="n">
        <v>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2610-2023</t>
        </is>
      </c>
      <c r="B889" s="1" t="n">
        <v>44944</v>
      </c>
      <c r="C889" s="1" t="n">
        <v>45831</v>
      </c>
      <c r="D889" t="inlineStr">
        <is>
          <t>VÄSTERBOTTENS LÄN</t>
        </is>
      </c>
      <c r="E889" t="inlineStr">
        <is>
          <t>LYCKSELE</t>
        </is>
      </c>
      <c r="G889" t="n">
        <v>18.6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2859-2023</t>
        </is>
      </c>
      <c r="B890" s="1" t="n">
        <v>44945</v>
      </c>
      <c r="C890" s="1" t="n">
        <v>45831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Kyrkan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3614-2023</t>
        </is>
      </c>
      <c r="B891" s="1" t="n">
        <v>44950</v>
      </c>
      <c r="C891" s="1" t="n">
        <v>45831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3540-2023</t>
        </is>
      </c>
      <c r="B892" s="1" t="n">
        <v>44950</v>
      </c>
      <c r="C892" s="1" t="n">
        <v>45831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4179-2023</t>
        </is>
      </c>
      <c r="B893" s="1" t="n">
        <v>44951</v>
      </c>
      <c r="C893" s="1" t="n">
        <v>45831</v>
      </c>
      <c r="D893" t="inlineStr">
        <is>
          <t>VÄSTERBOTTENS LÄN</t>
        </is>
      </c>
      <c r="E893" t="inlineStr">
        <is>
          <t>LYCKSELE</t>
        </is>
      </c>
      <c r="G893" t="n">
        <v>9.1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3947-2023</t>
        </is>
      </c>
      <c r="B894" s="1" t="n">
        <v>44952</v>
      </c>
      <c r="C894" s="1" t="n">
        <v>45831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4664-2023</t>
        </is>
      </c>
      <c r="B895" s="1" t="n">
        <v>44952</v>
      </c>
      <c r="C895" s="1" t="n">
        <v>45831</v>
      </c>
      <c r="D895" t="inlineStr">
        <is>
          <t>VÄSTERBOTTENS LÄN</t>
        </is>
      </c>
      <c r="E895" t="inlineStr">
        <is>
          <t>LYCKSELE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4056-2023</t>
        </is>
      </c>
      <c r="B896" s="1" t="n">
        <v>44952</v>
      </c>
      <c r="C896" s="1" t="n">
        <v>45831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4673-2023</t>
        </is>
      </c>
      <c r="B897" s="1" t="n">
        <v>44952</v>
      </c>
      <c r="C897" s="1" t="n">
        <v>45831</v>
      </c>
      <c r="D897" t="inlineStr">
        <is>
          <t>VÄSTERBOTTENS LÄN</t>
        </is>
      </c>
      <c r="E897" t="inlineStr">
        <is>
          <t>LYCKSELE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4666-2023</t>
        </is>
      </c>
      <c r="B898" s="1" t="n">
        <v>44953</v>
      </c>
      <c r="C898" s="1" t="n">
        <v>45831</v>
      </c>
      <c r="D898" t="inlineStr">
        <is>
          <t>VÄSTERBOTTENS LÄN</t>
        </is>
      </c>
      <c r="E898" t="inlineStr">
        <is>
          <t>LYCKSELE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5204-2023</t>
        </is>
      </c>
      <c r="B899" s="1" t="n">
        <v>44956</v>
      </c>
      <c r="C899" s="1" t="n">
        <v>45831</v>
      </c>
      <c r="D899" t="inlineStr">
        <is>
          <t>VÄSTERBOTTENS LÄN</t>
        </is>
      </c>
      <c r="E899" t="inlineStr">
        <is>
          <t>LYCKSELE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5361-2023</t>
        </is>
      </c>
      <c r="B900" s="1" t="n">
        <v>44956</v>
      </c>
      <c r="C900" s="1" t="n">
        <v>45831</v>
      </c>
      <c r="D900" t="inlineStr">
        <is>
          <t>VÄSTERBOTTENS LÄN</t>
        </is>
      </c>
      <c r="E900" t="inlineStr">
        <is>
          <t>LYCKSELE</t>
        </is>
      </c>
      <c r="G900" t="n">
        <v>21.1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4745-2023</t>
        </is>
      </c>
      <c r="B901" s="1" t="n">
        <v>44957</v>
      </c>
      <c r="C901" s="1" t="n">
        <v>45831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13.6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5094-2023</t>
        </is>
      </c>
      <c r="B902" s="1" t="n">
        <v>44958</v>
      </c>
      <c r="C902" s="1" t="n">
        <v>45831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15.9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5638-2023</t>
        </is>
      </c>
      <c r="B903" s="1" t="n">
        <v>44960</v>
      </c>
      <c r="C903" s="1" t="n">
        <v>45831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6684-2023</t>
        </is>
      </c>
      <c r="B904" s="1" t="n">
        <v>44963</v>
      </c>
      <c r="C904" s="1" t="n">
        <v>45831</v>
      </c>
      <c r="D904" t="inlineStr">
        <is>
          <t>VÄSTERBOTTENS LÄN</t>
        </is>
      </c>
      <c r="E904" t="inlineStr">
        <is>
          <t>LYCKSELE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6044-2023</t>
        </is>
      </c>
      <c r="B905" s="1" t="n">
        <v>44964</v>
      </c>
      <c r="C905" s="1" t="n">
        <v>45831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6906-2023</t>
        </is>
      </c>
      <c r="B906" s="1" t="n">
        <v>44967</v>
      </c>
      <c r="C906" s="1" t="n">
        <v>45831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7318-2023</t>
        </is>
      </c>
      <c r="B907" s="1" t="n">
        <v>44970</v>
      </c>
      <c r="C907" s="1" t="n">
        <v>45831</v>
      </c>
      <c r="D907" t="inlineStr">
        <is>
          <t>VÄSTERBOTTENS LÄN</t>
        </is>
      </c>
      <c r="E907" t="inlineStr">
        <is>
          <t>LYCKSELE</t>
        </is>
      </c>
      <c r="G907" t="n">
        <v>7.7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7768-2023</t>
        </is>
      </c>
      <c r="B908" s="1" t="n">
        <v>44973</v>
      </c>
      <c r="C908" s="1" t="n">
        <v>45831</v>
      </c>
      <c r="D908" t="inlineStr">
        <is>
          <t>VÄSTERBOTTENS LÄN</t>
        </is>
      </c>
      <c r="E908" t="inlineStr">
        <is>
          <t>LYCKSELE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  <c r="U908">
        <f>HYPERLINK("https://klasma.github.io/Logging_2481/knärot/A 7768-2023 karta knärot.png", "A 7768-2023")</f>
        <v/>
      </c>
      <c r="V908">
        <f>HYPERLINK("https://klasma.github.io/Logging_2481/klagomål/A 7768-2023 FSC-klagomål.docx", "A 7768-2023")</f>
        <v/>
      </c>
      <c r="W908">
        <f>HYPERLINK("https://klasma.github.io/Logging_2481/klagomålsmail/A 7768-2023 FSC-klagomål mail.docx", "A 7768-2023")</f>
        <v/>
      </c>
      <c r="X908">
        <f>HYPERLINK("https://klasma.github.io/Logging_2481/tillsyn/A 7768-2023 tillsynsbegäran.docx", "A 7768-2023")</f>
        <v/>
      </c>
      <c r="Y908">
        <f>HYPERLINK("https://klasma.github.io/Logging_2481/tillsynsmail/A 7768-2023 tillsynsbegäran mail.docx", "A 7768-2023")</f>
        <v/>
      </c>
    </row>
    <row r="909" ht="15" customHeight="1">
      <c r="A909" t="inlineStr">
        <is>
          <t>A 7822-2023</t>
        </is>
      </c>
      <c r="B909" s="1" t="n">
        <v>44973</v>
      </c>
      <c r="C909" s="1" t="n">
        <v>45831</v>
      </c>
      <c r="D909" t="inlineStr">
        <is>
          <t>VÄSTERBOTTENS LÄN</t>
        </is>
      </c>
      <c r="E909" t="inlineStr">
        <is>
          <t>LYCKSELE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7829-2023</t>
        </is>
      </c>
      <c r="B910" s="1" t="n">
        <v>44973</v>
      </c>
      <c r="C910" s="1" t="n">
        <v>45831</v>
      </c>
      <c r="D910" t="inlineStr">
        <is>
          <t>VÄSTERBOTTENS LÄN</t>
        </is>
      </c>
      <c r="E910" t="inlineStr">
        <is>
          <t>LYCKSELE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7818-2023</t>
        </is>
      </c>
      <c r="B911" s="1" t="n">
        <v>44973</v>
      </c>
      <c r="C911" s="1" t="n">
        <v>45831</v>
      </c>
      <c r="D911" t="inlineStr">
        <is>
          <t>VÄSTERBOTTENS LÄN</t>
        </is>
      </c>
      <c r="E911" t="inlineStr">
        <is>
          <t>LYCKSELE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7825-2023</t>
        </is>
      </c>
      <c r="B912" s="1" t="n">
        <v>44973</v>
      </c>
      <c r="C912" s="1" t="n">
        <v>45831</v>
      </c>
      <c r="D912" t="inlineStr">
        <is>
          <t>VÄSTERBOTTENS LÄN</t>
        </is>
      </c>
      <c r="E912" t="inlineStr">
        <is>
          <t>LYCKSELE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7834-2023</t>
        </is>
      </c>
      <c r="B913" s="1" t="n">
        <v>44973</v>
      </c>
      <c r="C913" s="1" t="n">
        <v>45831</v>
      </c>
      <c r="D913" t="inlineStr">
        <is>
          <t>VÄSTERBOTTENS LÄN</t>
        </is>
      </c>
      <c r="E913" t="inlineStr">
        <is>
          <t>LYCKSELE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7837-2023</t>
        </is>
      </c>
      <c r="B914" s="1" t="n">
        <v>44973</v>
      </c>
      <c r="C914" s="1" t="n">
        <v>45831</v>
      </c>
      <c r="D914" t="inlineStr">
        <is>
          <t>VÄSTERBOTTENS LÄN</t>
        </is>
      </c>
      <c r="E914" t="inlineStr">
        <is>
          <t>LYCKSELE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8359-2023</t>
        </is>
      </c>
      <c r="B915" s="1" t="n">
        <v>44977</v>
      </c>
      <c r="C915" s="1" t="n">
        <v>45831</v>
      </c>
      <c r="D915" t="inlineStr">
        <is>
          <t>VÄSTERBOTTENS LÄN</t>
        </is>
      </c>
      <c r="E915" t="inlineStr">
        <is>
          <t>LYCKSELE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8364-2023</t>
        </is>
      </c>
      <c r="B916" s="1" t="n">
        <v>44977</v>
      </c>
      <c r="C916" s="1" t="n">
        <v>45831</v>
      </c>
      <c r="D916" t="inlineStr">
        <is>
          <t>VÄSTERBOTTENS LÄN</t>
        </is>
      </c>
      <c r="E916" t="inlineStr">
        <is>
          <t>LYCKSELE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8917-2023</t>
        </is>
      </c>
      <c r="B917" s="1" t="n">
        <v>44979</v>
      </c>
      <c r="C917" s="1" t="n">
        <v>45831</v>
      </c>
      <c r="D917" t="inlineStr">
        <is>
          <t>VÄSTERBOTTENS LÄN</t>
        </is>
      </c>
      <c r="E917" t="inlineStr">
        <is>
          <t>LYCKSELE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9090-2023</t>
        </is>
      </c>
      <c r="B918" s="1" t="n">
        <v>44979</v>
      </c>
      <c r="C918" s="1" t="n">
        <v>45831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10.5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10331-2023</t>
        </is>
      </c>
      <c r="B919" s="1" t="n">
        <v>44980</v>
      </c>
      <c r="C919" s="1" t="n">
        <v>45831</v>
      </c>
      <c r="D919" t="inlineStr">
        <is>
          <t>VÄSTERBOTTENS LÄN</t>
        </is>
      </c>
      <c r="E919" t="inlineStr">
        <is>
          <t>LYCKSELE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10341-2023</t>
        </is>
      </c>
      <c r="B920" s="1" t="n">
        <v>44980</v>
      </c>
      <c r="C920" s="1" t="n">
        <v>45831</v>
      </c>
      <c r="D920" t="inlineStr">
        <is>
          <t>VÄSTERBOTTENS LÄN</t>
        </is>
      </c>
      <c r="E920" t="inlineStr">
        <is>
          <t>LYCKSELE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10485-2023</t>
        </is>
      </c>
      <c r="B921" s="1" t="n">
        <v>44981</v>
      </c>
      <c r="C921" s="1" t="n">
        <v>45831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10953-2023</t>
        </is>
      </c>
      <c r="B922" s="1" t="n">
        <v>44985</v>
      </c>
      <c r="C922" s="1" t="n">
        <v>45831</v>
      </c>
      <c r="D922" t="inlineStr">
        <is>
          <t>VÄSTERBOTTENS LÄN</t>
        </is>
      </c>
      <c r="E922" t="inlineStr">
        <is>
          <t>LYCKSELE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10976-2023</t>
        </is>
      </c>
      <c r="B923" s="1" t="n">
        <v>44985</v>
      </c>
      <c r="C923" s="1" t="n">
        <v>45831</v>
      </c>
      <c r="D923" t="inlineStr">
        <is>
          <t>VÄSTERBOTTENS LÄN</t>
        </is>
      </c>
      <c r="E923" t="inlineStr">
        <is>
          <t>LYCKSELE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10767-2023</t>
        </is>
      </c>
      <c r="B924" s="1" t="n">
        <v>44988</v>
      </c>
      <c r="C924" s="1" t="n">
        <v>45831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8.9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11049-2023</t>
        </is>
      </c>
      <c r="B925" s="1" t="n">
        <v>44991</v>
      </c>
      <c r="C925" s="1" t="n">
        <v>45831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11298-2023</t>
        </is>
      </c>
      <c r="B926" s="1" t="n">
        <v>44992</v>
      </c>
      <c r="C926" s="1" t="n">
        <v>45831</v>
      </c>
      <c r="D926" t="inlineStr">
        <is>
          <t>VÄSTERBOTTENS LÄN</t>
        </is>
      </c>
      <c r="E926" t="inlineStr">
        <is>
          <t>LYCKSELE</t>
        </is>
      </c>
      <c r="G926" t="n">
        <v>9.199999999999999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11297-2023</t>
        </is>
      </c>
      <c r="B927" s="1" t="n">
        <v>44992</v>
      </c>
      <c r="C927" s="1" t="n">
        <v>45831</v>
      </c>
      <c r="D927" t="inlineStr">
        <is>
          <t>VÄSTERBOTTENS LÄN</t>
        </is>
      </c>
      <c r="E927" t="inlineStr">
        <is>
          <t>LYCKSELE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11314-2023</t>
        </is>
      </c>
      <c r="B928" s="1" t="n">
        <v>44993</v>
      </c>
      <c r="C928" s="1" t="n">
        <v>45831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31.4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11604-2023</t>
        </is>
      </c>
      <c r="B929" s="1" t="n">
        <v>44994</v>
      </c>
      <c r="C929" s="1" t="n">
        <v>45831</v>
      </c>
      <c r="D929" t="inlineStr">
        <is>
          <t>VÄSTERBOTTENS LÄN</t>
        </is>
      </c>
      <c r="E929" t="inlineStr">
        <is>
          <t>LYCKSELE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11743-2023</t>
        </is>
      </c>
      <c r="B930" s="1" t="n">
        <v>44994</v>
      </c>
      <c r="C930" s="1" t="n">
        <v>45831</v>
      </c>
      <c r="D930" t="inlineStr">
        <is>
          <t>VÄSTERBOTTENS LÄN</t>
        </is>
      </c>
      <c r="E930" t="inlineStr">
        <is>
          <t>LYCKSELE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11822-2023</t>
        </is>
      </c>
      <c r="B931" s="1" t="n">
        <v>44994</v>
      </c>
      <c r="C931" s="1" t="n">
        <v>45831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12052-2023</t>
        </is>
      </c>
      <c r="B932" s="1" t="n">
        <v>44995</v>
      </c>
      <c r="C932" s="1" t="n">
        <v>45831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12368-2023</t>
        </is>
      </c>
      <c r="B933" s="1" t="n">
        <v>44998</v>
      </c>
      <c r="C933" s="1" t="n">
        <v>45831</v>
      </c>
      <c r="D933" t="inlineStr">
        <is>
          <t>VÄSTERBOTTENS LÄN</t>
        </is>
      </c>
      <c r="E933" t="inlineStr">
        <is>
          <t>LYCKSELE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12337-2023</t>
        </is>
      </c>
      <c r="B934" s="1" t="n">
        <v>44999</v>
      </c>
      <c r="C934" s="1" t="n">
        <v>45831</v>
      </c>
      <c r="D934" t="inlineStr">
        <is>
          <t>VÄSTERBOTTENS LÄN</t>
        </is>
      </c>
      <c r="E934" t="inlineStr">
        <is>
          <t>LYCKSELE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12582-2023</t>
        </is>
      </c>
      <c r="B935" s="1" t="n">
        <v>44999</v>
      </c>
      <c r="C935" s="1" t="n">
        <v>45831</v>
      </c>
      <c r="D935" t="inlineStr">
        <is>
          <t>VÄSTERBOTTENS LÄN</t>
        </is>
      </c>
      <c r="E935" t="inlineStr">
        <is>
          <t>LYCKSELE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13661-2023</t>
        </is>
      </c>
      <c r="B936" s="1" t="n">
        <v>45006</v>
      </c>
      <c r="C936" s="1" t="n">
        <v>45831</v>
      </c>
      <c r="D936" t="inlineStr">
        <is>
          <t>VÄSTERBOTTENS LÄN</t>
        </is>
      </c>
      <c r="E936" t="inlineStr">
        <is>
          <t>LYCKSELE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13566-2023</t>
        </is>
      </c>
      <c r="B937" s="1" t="n">
        <v>45006</v>
      </c>
      <c r="C937" s="1" t="n">
        <v>45831</v>
      </c>
      <c r="D937" t="inlineStr">
        <is>
          <t>VÄSTERBOTTENS LÄN</t>
        </is>
      </c>
      <c r="E937" t="inlineStr">
        <is>
          <t>LYCKSELE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13563-2023</t>
        </is>
      </c>
      <c r="B938" s="1" t="n">
        <v>45006</v>
      </c>
      <c r="C938" s="1" t="n">
        <v>45831</v>
      </c>
      <c r="D938" t="inlineStr">
        <is>
          <t>VÄSTERBOTTENS LÄN</t>
        </is>
      </c>
      <c r="E938" t="inlineStr">
        <is>
          <t>LYCKSELE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14652-2023</t>
        </is>
      </c>
      <c r="B939" s="1" t="n">
        <v>45013</v>
      </c>
      <c r="C939" s="1" t="n">
        <v>45831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14857-2023</t>
        </is>
      </c>
      <c r="B940" s="1" t="n">
        <v>45014</v>
      </c>
      <c r="C940" s="1" t="n">
        <v>45831</v>
      </c>
      <c r="D940" t="inlineStr">
        <is>
          <t>VÄSTERBOTTENS LÄN</t>
        </is>
      </c>
      <c r="E940" t="inlineStr">
        <is>
          <t>LYCKSELE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14854-2023</t>
        </is>
      </c>
      <c r="B941" s="1" t="n">
        <v>45014</v>
      </c>
      <c r="C941" s="1" t="n">
        <v>45831</v>
      </c>
      <c r="D941" t="inlineStr">
        <is>
          <t>VÄSTERBOTTENS LÄN</t>
        </is>
      </c>
      <c r="E941" t="inlineStr">
        <is>
          <t>LYCKSELE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14877-2023</t>
        </is>
      </c>
      <c r="B942" s="1" t="n">
        <v>45015</v>
      </c>
      <c r="C942" s="1" t="n">
        <v>45831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15075-2023</t>
        </is>
      </c>
      <c r="B943" s="1" t="n">
        <v>45015</v>
      </c>
      <c r="C943" s="1" t="n">
        <v>45831</v>
      </c>
      <c r="D943" t="inlineStr">
        <is>
          <t>VÄSTERBOTTENS LÄN</t>
        </is>
      </c>
      <c r="E943" t="inlineStr">
        <is>
          <t>LYCKSELE</t>
        </is>
      </c>
      <c r="G943" t="n">
        <v>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15046-2023</t>
        </is>
      </c>
      <c r="B944" s="1" t="n">
        <v>45015</v>
      </c>
      <c r="C944" s="1" t="n">
        <v>45831</v>
      </c>
      <c r="D944" t="inlineStr">
        <is>
          <t>VÄSTERBOTTENS LÄN</t>
        </is>
      </c>
      <c r="E944" t="inlineStr">
        <is>
          <t>LYCKSELE</t>
        </is>
      </c>
      <c r="G944" t="n">
        <v>13.4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15564-2023</t>
        </is>
      </c>
      <c r="B945" s="1" t="n">
        <v>45020</v>
      </c>
      <c r="C945" s="1" t="n">
        <v>45831</v>
      </c>
      <c r="D945" t="inlineStr">
        <is>
          <t>VÄSTERBOTTENS LÄN</t>
        </is>
      </c>
      <c r="E945" t="inlineStr">
        <is>
          <t>LYCKSELE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15621-2023</t>
        </is>
      </c>
      <c r="B946" s="1" t="n">
        <v>45020</v>
      </c>
      <c r="C946" s="1" t="n">
        <v>45831</v>
      </c>
      <c r="D946" t="inlineStr">
        <is>
          <t>VÄSTERBOTTENS LÄN</t>
        </is>
      </c>
      <c r="E946" t="inlineStr">
        <is>
          <t>LYCKSELE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15622-2023</t>
        </is>
      </c>
      <c r="B947" s="1" t="n">
        <v>45020</v>
      </c>
      <c r="C947" s="1" t="n">
        <v>45831</v>
      </c>
      <c r="D947" t="inlineStr">
        <is>
          <t>VÄSTERBOTTENS LÄN</t>
        </is>
      </c>
      <c r="E947" t="inlineStr">
        <is>
          <t>LYCKSELE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15888-2023</t>
        </is>
      </c>
      <c r="B948" s="1" t="n">
        <v>45021</v>
      </c>
      <c r="C948" s="1" t="n">
        <v>45831</v>
      </c>
      <c r="D948" t="inlineStr">
        <is>
          <t>VÄSTERBOTTENS LÄN</t>
        </is>
      </c>
      <c r="E948" t="inlineStr">
        <is>
          <t>LYCKSELE</t>
        </is>
      </c>
      <c r="G948" t="n">
        <v>20.5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15890-2023</t>
        </is>
      </c>
      <c r="B949" s="1" t="n">
        <v>45021</v>
      </c>
      <c r="C949" s="1" t="n">
        <v>45831</v>
      </c>
      <c r="D949" t="inlineStr">
        <is>
          <t>VÄSTERBOTTENS LÄN</t>
        </is>
      </c>
      <c r="E949" t="inlineStr">
        <is>
          <t>LYCKSELE</t>
        </is>
      </c>
      <c r="G949" t="n">
        <v>17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15809-2023</t>
        </is>
      </c>
      <c r="B950" s="1" t="n">
        <v>45021</v>
      </c>
      <c r="C950" s="1" t="n">
        <v>45831</v>
      </c>
      <c r="D950" t="inlineStr">
        <is>
          <t>VÄSTERBOTTENS LÄN</t>
        </is>
      </c>
      <c r="E950" t="inlineStr">
        <is>
          <t>LYCKSELE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15893-2023</t>
        </is>
      </c>
      <c r="B951" s="1" t="n">
        <v>45021</v>
      </c>
      <c r="C951" s="1" t="n">
        <v>45831</v>
      </c>
      <c r="D951" t="inlineStr">
        <is>
          <t>VÄSTERBOTTENS LÄN</t>
        </is>
      </c>
      <c r="E951" t="inlineStr">
        <is>
          <t>LYCKSELE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17396-2023</t>
        </is>
      </c>
      <c r="B952" s="1" t="n">
        <v>45035</v>
      </c>
      <c r="C952" s="1" t="n">
        <v>45831</v>
      </c>
      <c r="D952" t="inlineStr">
        <is>
          <t>VÄSTERBOTTENS LÄN</t>
        </is>
      </c>
      <c r="E952" t="inlineStr">
        <is>
          <t>LYCKSELE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17391-2023</t>
        </is>
      </c>
      <c r="B953" s="1" t="n">
        <v>45035</v>
      </c>
      <c r="C953" s="1" t="n">
        <v>45831</v>
      </c>
      <c r="D953" t="inlineStr">
        <is>
          <t>VÄSTERBOTTENS LÄN</t>
        </is>
      </c>
      <c r="E953" t="inlineStr">
        <is>
          <t>LYCKSELE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17397-2023</t>
        </is>
      </c>
      <c r="B954" s="1" t="n">
        <v>45035</v>
      </c>
      <c r="C954" s="1" t="n">
        <v>45831</v>
      </c>
      <c r="D954" t="inlineStr">
        <is>
          <t>VÄSTERBOTTENS LÄN</t>
        </is>
      </c>
      <c r="E954" t="inlineStr">
        <is>
          <t>LYCKSELE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17393-2023</t>
        </is>
      </c>
      <c r="B955" s="1" t="n">
        <v>45035</v>
      </c>
      <c r="C955" s="1" t="n">
        <v>45831</v>
      </c>
      <c r="D955" t="inlineStr">
        <is>
          <t>VÄSTERBOTTENS LÄN</t>
        </is>
      </c>
      <c r="E955" t="inlineStr">
        <is>
          <t>LYCKSELE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17690-2023</t>
        </is>
      </c>
      <c r="B956" s="1" t="n">
        <v>45035</v>
      </c>
      <c r="C956" s="1" t="n">
        <v>45831</v>
      </c>
      <c r="D956" t="inlineStr">
        <is>
          <t>VÄSTERBOTTENS LÄN</t>
        </is>
      </c>
      <c r="E956" t="inlineStr">
        <is>
          <t>LYCKSELE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18156-2023</t>
        </is>
      </c>
      <c r="B957" s="1" t="n">
        <v>45040</v>
      </c>
      <c r="C957" s="1" t="n">
        <v>45831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22.9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18365-2023</t>
        </is>
      </c>
      <c r="B958" s="1" t="n">
        <v>45041</v>
      </c>
      <c r="C958" s="1" t="n">
        <v>45831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22.4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18342-2023</t>
        </is>
      </c>
      <c r="B959" s="1" t="n">
        <v>45041</v>
      </c>
      <c r="C959" s="1" t="n">
        <v>45831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16.2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18587-2023</t>
        </is>
      </c>
      <c r="B960" s="1" t="n">
        <v>45041</v>
      </c>
      <c r="C960" s="1" t="n">
        <v>45831</v>
      </c>
      <c r="D960" t="inlineStr">
        <is>
          <t>VÄSTERBOTTENS LÄN</t>
        </is>
      </c>
      <c r="E960" t="inlineStr">
        <is>
          <t>LYCKSELE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18595-2023</t>
        </is>
      </c>
      <c r="B961" s="1" t="n">
        <v>45041</v>
      </c>
      <c r="C961" s="1" t="n">
        <v>45831</v>
      </c>
      <c r="D961" t="inlineStr">
        <is>
          <t>VÄSTERBOTTENS LÄN</t>
        </is>
      </c>
      <c r="E961" t="inlineStr">
        <is>
          <t>LYCKSELE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18610-2023</t>
        </is>
      </c>
      <c r="B962" s="1" t="n">
        <v>45041</v>
      </c>
      <c r="C962" s="1" t="n">
        <v>45831</v>
      </c>
      <c r="D962" t="inlineStr">
        <is>
          <t>VÄSTERBOTTENS LÄN</t>
        </is>
      </c>
      <c r="E962" t="inlineStr">
        <is>
          <t>LYCKSELE</t>
        </is>
      </c>
      <c r="G962" t="n">
        <v>14.5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18486-2023</t>
        </is>
      </c>
      <c r="B963" s="1" t="n">
        <v>45042</v>
      </c>
      <c r="C963" s="1" t="n">
        <v>45831</v>
      </c>
      <c r="D963" t="inlineStr">
        <is>
          <t>VÄSTERBOTTENS LÄN</t>
        </is>
      </c>
      <c r="E963" t="inlineStr">
        <is>
          <t>LYCKSELE</t>
        </is>
      </c>
      <c r="G963" t="n">
        <v>16.7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18899-2023</t>
        </is>
      </c>
      <c r="B964" s="1" t="n">
        <v>45043</v>
      </c>
      <c r="C964" s="1" t="n">
        <v>45831</v>
      </c>
      <c r="D964" t="inlineStr">
        <is>
          <t>VÄSTERBOTTENS LÄN</t>
        </is>
      </c>
      <c r="E964" t="inlineStr">
        <is>
          <t>LYCKSELE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19229-2023</t>
        </is>
      </c>
      <c r="B965" s="1" t="n">
        <v>45049</v>
      </c>
      <c r="C965" s="1" t="n">
        <v>45831</v>
      </c>
      <c r="D965" t="inlineStr">
        <is>
          <t>VÄSTERBOTTENS LÄN</t>
        </is>
      </c>
      <c r="E965" t="inlineStr">
        <is>
          <t>LYCKSELE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19233-2023</t>
        </is>
      </c>
      <c r="B966" s="1" t="n">
        <v>45049</v>
      </c>
      <c r="C966" s="1" t="n">
        <v>45831</v>
      </c>
      <c r="D966" t="inlineStr">
        <is>
          <t>VÄSTERBOTTENS LÄN</t>
        </is>
      </c>
      <c r="E966" t="inlineStr">
        <is>
          <t>LYCKSELE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19460-2023</t>
        </is>
      </c>
      <c r="B967" s="1" t="n">
        <v>45050</v>
      </c>
      <c r="C967" s="1" t="n">
        <v>45831</v>
      </c>
      <c r="D967" t="inlineStr">
        <is>
          <t>VÄSTERBOTTENS LÄN</t>
        </is>
      </c>
      <c r="E967" t="inlineStr">
        <is>
          <t>LYCKSELE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19882-2023</t>
        </is>
      </c>
      <c r="B968" s="1" t="n">
        <v>45054</v>
      </c>
      <c r="C968" s="1" t="n">
        <v>45831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21073-2023</t>
        </is>
      </c>
      <c r="B969" s="1" t="n">
        <v>45057</v>
      </c>
      <c r="C969" s="1" t="n">
        <v>45831</v>
      </c>
      <c r="D969" t="inlineStr">
        <is>
          <t>VÄSTERBOTTENS LÄN</t>
        </is>
      </c>
      <c r="E969" t="inlineStr">
        <is>
          <t>LYCKSELE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21210-2023</t>
        </is>
      </c>
      <c r="B970" s="1" t="n">
        <v>45058</v>
      </c>
      <c r="C970" s="1" t="n">
        <v>45831</v>
      </c>
      <c r="D970" t="inlineStr">
        <is>
          <t>VÄSTERBOTTENS LÄN</t>
        </is>
      </c>
      <c r="E970" t="inlineStr">
        <is>
          <t>LYCKSELE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21213-2023</t>
        </is>
      </c>
      <c r="B971" s="1" t="n">
        <v>45058</v>
      </c>
      <c r="C971" s="1" t="n">
        <v>45831</v>
      </c>
      <c r="D971" t="inlineStr">
        <is>
          <t>VÄSTERBOTTENS LÄN</t>
        </is>
      </c>
      <c r="E971" t="inlineStr">
        <is>
          <t>LYCKSELE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21186-2023</t>
        </is>
      </c>
      <c r="B972" s="1" t="n">
        <v>45058</v>
      </c>
      <c r="C972" s="1" t="n">
        <v>45831</v>
      </c>
      <c r="D972" t="inlineStr">
        <is>
          <t>VÄSTERBOTTENS LÄN</t>
        </is>
      </c>
      <c r="E972" t="inlineStr">
        <is>
          <t>LYCKSELE</t>
        </is>
      </c>
      <c r="G972" t="n">
        <v>23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20992-2023</t>
        </is>
      </c>
      <c r="B973" s="1" t="n">
        <v>45061</v>
      </c>
      <c r="C973" s="1" t="n">
        <v>45831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21105-2023</t>
        </is>
      </c>
      <c r="B974" s="1" t="n">
        <v>45062</v>
      </c>
      <c r="C974" s="1" t="n">
        <v>45831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21109-2023</t>
        </is>
      </c>
      <c r="B975" s="1" t="n">
        <v>45062</v>
      </c>
      <c r="C975" s="1" t="n">
        <v>45831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21368-2023</t>
        </is>
      </c>
      <c r="B976" s="1" t="n">
        <v>45063</v>
      </c>
      <c r="C976" s="1" t="n">
        <v>45831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Naturvårdsverket</t>
        </is>
      </c>
      <c r="G976" t="n">
        <v>27.9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21502-2023</t>
        </is>
      </c>
      <c r="B977" s="1" t="n">
        <v>45063</v>
      </c>
      <c r="C977" s="1" t="n">
        <v>45831</v>
      </c>
      <c r="D977" t="inlineStr">
        <is>
          <t>VÄSTERBOTTENS LÄN</t>
        </is>
      </c>
      <c r="E977" t="inlineStr">
        <is>
          <t>LYCKSELE</t>
        </is>
      </c>
      <c r="G977" t="n">
        <v>11.4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21660-2023</t>
        </is>
      </c>
      <c r="B978" s="1" t="n">
        <v>45063</v>
      </c>
      <c r="C978" s="1" t="n">
        <v>45831</v>
      </c>
      <c r="D978" t="inlineStr">
        <is>
          <t>VÄSTERBOTTENS LÄN</t>
        </is>
      </c>
      <c r="E978" t="inlineStr">
        <is>
          <t>LYCKSELE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21664-2023</t>
        </is>
      </c>
      <c r="B979" s="1" t="n">
        <v>45064</v>
      </c>
      <c r="C979" s="1" t="n">
        <v>45831</v>
      </c>
      <c r="D979" t="inlineStr">
        <is>
          <t>VÄSTERBOTTENS LÄN</t>
        </is>
      </c>
      <c r="E979" t="inlineStr">
        <is>
          <t>LYCKSELE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22114-2023</t>
        </is>
      </c>
      <c r="B980" s="1" t="n">
        <v>45069</v>
      </c>
      <c r="C980" s="1" t="n">
        <v>45831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23.9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22112-2023</t>
        </is>
      </c>
      <c r="B981" s="1" t="n">
        <v>45069</v>
      </c>
      <c r="C981" s="1" t="n">
        <v>45831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22419-2023</t>
        </is>
      </c>
      <c r="B982" s="1" t="n">
        <v>45070</v>
      </c>
      <c r="C982" s="1" t="n">
        <v>45831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Naturvårdsverket</t>
        </is>
      </c>
      <c r="G982" t="n">
        <v>9.4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22936-2023</t>
        </is>
      </c>
      <c r="B983" s="1" t="n">
        <v>45072</v>
      </c>
      <c r="C983" s="1" t="n">
        <v>45831</v>
      </c>
      <c r="D983" t="inlineStr">
        <is>
          <t>VÄSTERBOTTENS LÄN</t>
        </is>
      </c>
      <c r="E983" t="inlineStr">
        <is>
          <t>LYCKSELE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23296-2023</t>
        </is>
      </c>
      <c r="B984" s="1" t="n">
        <v>45075</v>
      </c>
      <c r="C984" s="1" t="n">
        <v>45831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23295-2023</t>
        </is>
      </c>
      <c r="B985" s="1" t="n">
        <v>45075</v>
      </c>
      <c r="C985" s="1" t="n">
        <v>45831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23297-2023</t>
        </is>
      </c>
      <c r="B986" s="1" t="n">
        <v>45075</v>
      </c>
      <c r="C986" s="1" t="n">
        <v>45831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23411-2023</t>
        </is>
      </c>
      <c r="B987" s="1" t="n">
        <v>45076</v>
      </c>
      <c r="C987" s="1" t="n">
        <v>45831</v>
      </c>
      <c r="D987" t="inlineStr">
        <is>
          <t>VÄSTERBOTTENS LÄN</t>
        </is>
      </c>
      <c r="E987" t="inlineStr">
        <is>
          <t>LYCKSELE</t>
        </is>
      </c>
      <c r="G987" t="n">
        <v>11.4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23769-2023</t>
        </is>
      </c>
      <c r="B988" s="1" t="n">
        <v>45078</v>
      </c>
      <c r="C988" s="1" t="n">
        <v>45831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23768-2023</t>
        </is>
      </c>
      <c r="B989" s="1" t="n">
        <v>45078</v>
      </c>
      <c r="C989" s="1" t="n">
        <v>45831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24460-2023</t>
        </is>
      </c>
      <c r="B990" s="1" t="n">
        <v>45077</v>
      </c>
      <c r="C990" s="1" t="n">
        <v>45831</v>
      </c>
      <c r="D990" t="inlineStr">
        <is>
          <t>VÄSTERBOTTENS LÄN</t>
        </is>
      </c>
      <c r="E990" t="inlineStr">
        <is>
          <t>LYCKSELE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24041-2023</t>
        </is>
      </c>
      <c r="B991" s="1" t="n">
        <v>45078</v>
      </c>
      <c r="C991" s="1" t="n">
        <v>45831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24234-2023</t>
        </is>
      </c>
      <c r="B992" s="1" t="n">
        <v>45079</v>
      </c>
      <c r="C992" s="1" t="n">
        <v>45831</v>
      </c>
      <c r="D992" t="inlineStr">
        <is>
          <t>VÄSTERBOTTENS LÄN</t>
        </is>
      </c>
      <c r="E992" t="inlineStr">
        <is>
          <t>LYCKSELE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24289-2023</t>
        </is>
      </c>
      <c r="B993" s="1" t="n">
        <v>45080</v>
      </c>
      <c r="C993" s="1" t="n">
        <v>45831</v>
      </c>
      <c r="D993" t="inlineStr">
        <is>
          <t>VÄSTERBOTTENS LÄN</t>
        </is>
      </c>
      <c r="E993" t="inlineStr">
        <is>
          <t>LYCKSELE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24547-2023</t>
        </is>
      </c>
      <c r="B994" s="1" t="n">
        <v>45082</v>
      </c>
      <c r="C994" s="1" t="n">
        <v>45831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24818-2023</t>
        </is>
      </c>
      <c r="B995" s="1" t="n">
        <v>45085</v>
      </c>
      <c r="C995" s="1" t="n">
        <v>45831</v>
      </c>
      <c r="D995" t="inlineStr">
        <is>
          <t>VÄSTERBOTTENS LÄN</t>
        </is>
      </c>
      <c r="E995" t="inlineStr">
        <is>
          <t>LYCKSELE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25768-2023</t>
        </is>
      </c>
      <c r="B996" s="1" t="n">
        <v>45085</v>
      </c>
      <c r="C996" s="1" t="n">
        <v>45831</v>
      </c>
      <c r="D996" t="inlineStr">
        <is>
          <t>VÄSTERBOTTENS LÄN</t>
        </is>
      </c>
      <c r="E996" t="inlineStr">
        <is>
          <t>LYCKSELE</t>
        </is>
      </c>
      <c r="G996" t="n">
        <v>16.1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25765-2023</t>
        </is>
      </c>
      <c r="B997" s="1" t="n">
        <v>45085</v>
      </c>
      <c r="C997" s="1" t="n">
        <v>45831</v>
      </c>
      <c r="D997" t="inlineStr">
        <is>
          <t>VÄSTERBOTTENS LÄN</t>
        </is>
      </c>
      <c r="E997" t="inlineStr">
        <is>
          <t>LYCKSELE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25145-2023</t>
        </is>
      </c>
      <c r="B998" s="1" t="n">
        <v>45086</v>
      </c>
      <c r="C998" s="1" t="n">
        <v>45831</v>
      </c>
      <c r="D998" t="inlineStr">
        <is>
          <t>VÄSTERBOTTENS LÄN</t>
        </is>
      </c>
      <c r="E998" t="inlineStr">
        <is>
          <t>LYCKSELE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26329-2023</t>
        </is>
      </c>
      <c r="B999" s="1" t="n">
        <v>45086</v>
      </c>
      <c r="C999" s="1" t="n">
        <v>45831</v>
      </c>
      <c r="D999" t="inlineStr">
        <is>
          <t>VÄSTERBOTTENS LÄN</t>
        </is>
      </c>
      <c r="E999" t="inlineStr">
        <is>
          <t>LYCKSELE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26328-2023</t>
        </is>
      </c>
      <c r="B1000" s="1" t="n">
        <v>45086</v>
      </c>
      <c r="C1000" s="1" t="n">
        <v>45831</v>
      </c>
      <c r="D1000" t="inlineStr">
        <is>
          <t>VÄSTERBOTTENS LÄN</t>
        </is>
      </c>
      <c r="E1000" t="inlineStr">
        <is>
          <t>LYCKSELE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25451-2023</t>
        </is>
      </c>
      <c r="B1001" s="1" t="n">
        <v>45089</v>
      </c>
      <c r="C1001" s="1" t="n">
        <v>45831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9.4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25476-2023</t>
        </is>
      </c>
      <c r="B1002" s="1" t="n">
        <v>45089</v>
      </c>
      <c r="C1002" s="1" t="n">
        <v>45831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25413-2023</t>
        </is>
      </c>
      <c r="B1003" s="1" t="n">
        <v>45089</v>
      </c>
      <c r="C1003" s="1" t="n">
        <v>45831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25473-2023</t>
        </is>
      </c>
      <c r="B1004" s="1" t="n">
        <v>45089</v>
      </c>
      <c r="C1004" s="1" t="n">
        <v>45831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25478-2023</t>
        </is>
      </c>
      <c r="B1005" s="1" t="n">
        <v>45089</v>
      </c>
      <c r="C1005" s="1" t="n">
        <v>45831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25679-2023</t>
        </is>
      </c>
      <c r="B1006" s="1" t="n">
        <v>45090</v>
      </c>
      <c r="C1006" s="1" t="n">
        <v>45831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25899-2023</t>
        </is>
      </c>
      <c r="B1007" s="1" t="n">
        <v>45090</v>
      </c>
      <c r="C1007" s="1" t="n">
        <v>45831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26218-2023</t>
        </is>
      </c>
      <c r="B1008" s="1" t="n">
        <v>45091</v>
      </c>
      <c r="C1008" s="1" t="n">
        <v>45831</v>
      </c>
      <c r="D1008" t="inlineStr">
        <is>
          <t>VÄSTERBOTTENS LÄN</t>
        </is>
      </c>
      <c r="E1008" t="inlineStr">
        <is>
          <t>LYCKSELE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26355-2023</t>
        </is>
      </c>
      <c r="B1009" s="1" t="n">
        <v>45092</v>
      </c>
      <c r="C1009" s="1" t="n">
        <v>45831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26358-2023</t>
        </is>
      </c>
      <c r="B1010" s="1" t="n">
        <v>45091</v>
      </c>
      <c r="C1010" s="1" t="n">
        <v>45831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26354-2023</t>
        </is>
      </c>
      <c r="B1011" s="1" t="n">
        <v>45092</v>
      </c>
      <c r="C1011" s="1" t="n">
        <v>45831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26357-2023</t>
        </is>
      </c>
      <c r="B1012" s="1" t="n">
        <v>45091</v>
      </c>
      <c r="C1012" s="1" t="n">
        <v>45831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26356-2023</t>
        </is>
      </c>
      <c r="B1013" s="1" t="n">
        <v>45091</v>
      </c>
      <c r="C1013" s="1" t="n">
        <v>45831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26420-2023</t>
        </is>
      </c>
      <c r="B1014" s="1" t="n">
        <v>45092</v>
      </c>
      <c r="C1014" s="1" t="n">
        <v>45831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14.2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26848-2023</t>
        </is>
      </c>
      <c r="B1015" s="1" t="n">
        <v>45093</v>
      </c>
      <c r="C1015" s="1" t="n">
        <v>45831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26856-2023</t>
        </is>
      </c>
      <c r="B1016" s="1" t="n">
        <v>45093</v>
      </c>
      <c r="C1016" s="1" t="n">
        <v>45831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26864-2023</t>
        </is>
      </c>
      <c r="B1017" s="1" t="n">
        <v>45093</v>
      </c>
      <c r="C1017" s="1" t="n">
        <v>45831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26868-2023</t>
        </is>
      </c>
      <c r="B1018" s="1" t="n">
        <v>45093</v>
      </c>
      <c r="C1018" s="1" t="n">
        <v>45831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26999-2023</t>
        </is>
      </c>
      <c r="B1019" s="1" t="n">
        <v>45093</v>
      </c>
      <c r="C1019" s="1" t="n">
        <v>45831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27043-2023</t>
        </is>
      </c>
      <c r="B1020" s="1" t="n">
        <v>45095</v>
      </c>
      <c r="C1020" s="1" t="n">
        <v>45831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20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27185-2023</t>
        </is>
      </c>
      <c r="B1021" s="1" t="n">
        <v>45096</v>
      </c>
      <c r="C1021" s="1" t="n">
        <v>45831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27609-2023</t>
        </is>
      </c>
      <c r="B1022" s="1" t="n">
        <v>45097</v>
      </c>
      <c r="C1022" s="1" t="n">
        <v>45831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8.6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27595-2023</t>
        </is>
      </c>
      <c r="B1023" s="1" t="n">
        <v>45097</v>
      </c>
      <c r="C1023" s="1" t="n">
        <v>45831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27800-2023</t>
        </is>
      </c>
      <c r="B1024" s="1" t="n">
        <v>45098</v>
      </c>
      <c r="C1024" s="1" t="n">
        <v>45831</v>
      </c>
      <c r="D1024" t="inlineStr">
        <is>
          <t>VÄSTERBOTTENS LÄN</t>
        </is>
      </c>
      <c r="E1024" t="inlineStr">
        <is>
          <t>LYCKSELE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27878-2023</t>
        </is>
      </c>
      <c r="B1025" s="1" t="n">
        <v>45098</v>
      </c>
      <c r="C1025" s="1" t="n">
        <v>45831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19.3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27869-2023</t>
        </is>
      </c>
      <c r="B1026" s="1" t="n">
        <v>45098</v>
      </c>
      <c r="C1026" s="1" t="n">
        <v>45831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27881-2023</t>
        </is>
      </c>
      <c r="B1027" s="1" t="n">
        <v>45098</v>
      </c>
      <c r="C1027" s="1" t="n">
        <v>45831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27884-2023</t>
        </is>
      </c>
      <c r="B1028" s="1" t="n">
        <v>45098</v>
      </c>
      <c r="C1028" s="1" t="n">
        <v>45831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31.1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27964-2023</t>
        </is>
      </c>
      <c r="B1029" s="1" t="n">
        <v>45098</v>
      </c>
      <c r="C1029" s="1" t="n">
        <v>45831</v>
      </c>
      <c r="D1029" t="inlineStr">
        <is>
          <t>VÄSTERBOTTENS LÄN</t>
        </is>
      </c>
      <c r="E1029" t="inlineStr">
        <is>
          <t>LYCKSELE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28408-2023</t>
        </is>
      </c>
      <c r="B1030" s="1" t="n">
        <v>45101</v>
      </c>
      <c r="C1030" s="1" t="n">
        <v>45831</v>
      </c>
      <c r="D1030" t="inlineStr">
        <is>
          <t>VÄSTERBOTTENS LÄN</t>
        </is>
      </c>
      <c r="E1030" t="inlineStr">
        <is>
          <t>LYCKSELE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28409-2023</t>
        </is>
      </c>
      <c r="B1031" s="1" t="n">
        <v>45101</v>
      </c>
      <c r="C1031" s="1" t="n">
        <v>45831</v>
      </c>
      <c r="D1031" t="inlineStr">
        <is>
          <t>VÄSTERBOTTENS LÄN</t>
        </is>
      </c>
      <c r="E1031" t="inlineStr">
        <is>
          <t>LYCKSELE</t>
        </is>
      </c>
      <c r="G1031" t="n">
        <v>12.9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28540-2023</t>
        </is>
      </c>
      <c r="B1032" s="1" t="n">
        <v>45103</v>
      </c>
      <c r="C1032" s="1" t="n">
        <v>45831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28552-2023</t>
        </is>
      </c>
      <c r="B1033" s="1" t="n">
        <v>45103</v>
      </c>
      <c r="C1033" s="1" t="n">
        <v>45831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28528-2023</t>
        </is>
      </c>
      <c r="B1034" s="1" t="n">
        <v>45103</v>
      </c>
      <c r="C1034" s="1" t="n">
        <v>45831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28536-2023</t>
        </is>
      </c>
      <c r="B1035" s="1" t="n">
        <v>45103</v>
      </c>
      <c r="C1035" s="1" t="n">
        <v>45831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28545-2023</t>
        </is>
      </c>
      <c r="B1036" s="1" t="n">
        <v>45103</v>
      </c>
      <c r="C1036" s="1" t="n">
        <v>45831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28737-2023</t>
        </is>
      </c>
      <c r="B1037" s="1" t="n">
        <v>45104</v>
      </c>
      <c r="C1037" s="1" t="n">
        <v>45831</v>
      </c>
      <c r="D1037" t="inlineStr">
        <is>
          <t>VÄSTERBOTTENS LÄN</t>
        </is>
      </c>
      <c r="E1037" t="inlineStr">
        <is>
          <t>LYCKSELE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30401-2023</t>
        </is>
      </c>
      <c r="B1038" s="1" t="n">
        <v>45103</v>
      </c>
      <c r="C1038" s="1" t="n">
        <v>45831</v>
      </c>
      <c r="D1038" t="inlineStr">
        <is>
          <t>VÄSTERBOTTENS LÄN</t>
        </is>
      </c>
      <c r="E1038" t="inlineStr">
        <is>
          <t>LYCKSELE</t>
        </is>
      </c>
      <c r="G1038" t="n">
        <v>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28525-2023</t>
        </is>
      </c>
      <c r="B1039" s="1" t="n">
        <v>45103</v>
      </c>
      <c r="C1039" s="1" t="n">
        <v>45831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28537-2023</t>
        </is>
      </c>
      <c r="B1040" s="1" t="n">
        <v>45103</v>
      </c>
      <c r="C1040" s="1" t="n">
        <v>45831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28550-2023</t>
        </is>
      </c>
      <c r="B1041" s="1" t="n">
        <v>45103</v>
      </c>
      <c r="C1041" s="1" t="n">
        <v>45831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8.300000000000001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30409-2023</t>
        </is>
      </c>
      <c r="B1042" s="1" t="n">
        <v>45103</v>
      </c>
      <c r="C1042" s="1" t="n">
        <v>45831</v>
      </c>
      <c r="D1042" t="inlineStr">
        <is>
          <t>VÄSTERBOTTENS LÄN</t>
        </is>
      </c>
      <c r="E1042" t="inlineStr">
        <is>
          <t>LYCKSELE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31425-2023</t>
        </is>
      </c>
      <c r="B1043" s="1" t="n">
        <v>45104</v>
      </c>
      <c r="C1043" s="1" t="n">
        <v>45831</v>
      </c>
      <c r="D1043" t="inlineStr">
        <is>
          <t>VÄSTERBOTTENS LÄN</t>
        </is>
      </c>
      <c r="E1043" t="inlineStr">
        <is>
          <t>LYCKSELE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29277-2023</t>
        </is>
      </c>
      <c r="B1044" s="1" t="n">
        <v>45105</v>
      </c>
      <c r="C1044" s="1" t="n">
        <v>45831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Naturvårdsverket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29522-2023</t>
        </is>
      </c>
      <c r="B1045" s="1" t="n">
        <v>45106</v>
      </c>
      <c r="C1045" s="1" t="n">
        <v>45831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29526-2023</t>
        </is>
      </c>
      <c r="B1046" s="1" t="n">
        <v>45106</v>
      </c>
      <c r="C1046" s="1" t="n">
        <v>45831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29530-2023</t>
        </is>
      </c>
      <c r="B1047" s="1" t="n">
        <v>45106</v>
      </c>
      <c r="C1047" s="1" t="n">
        <v>45831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29543-2023</t>
        </is>
      </c>
      <c r="B1048" s="1" t="n">
        <v>45106</v>
      </c>
      <c r="C1048" s="1" t="n">
        <v>45831</v>
      </c>
      <c r="D1048" t="inlineStr">
        <is>
          <t>VÄSTERBOTTENS LÄN</t>
        </is>
      </c>
      <c r="E1048" t="inlineStr">
        <is>
          <t>LYCKSELE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29521-2023</t>
        </is>
      </c>
      <c r="B1049" s="1" t="n">
        <v>45106</v>
      </c>
      <c r="C1049" s="1" t="n">
        <v>45831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7.8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29516-2023</t>
        </is>
      </c>
      <c r="B1050" s="1" t="n">
        <v>45106</v>
      </c>
      <c r="C1050" s="1" t="n">
        <v>45831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29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29524-2023</t>
        </is>
      </c>
      <c r="B1051" s="1" t="n">
        <v>45106</v>
      </c>
      <c r="C1051" s="1" t="n">
        <v>45831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29546-2023</t>
        </is>
      </c>
      <c r="B1052" s="1" t="n">
        <v>45106</v>
      </c>
      <c r="C1052" s="1" t="n">
        <v>45831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29523-2023</t>
        </is>
      </c>
      <c r="B1053" s="1" t="n">
        <v>45106</v>
      </c>
      <c r="C1053" s="1" t="n">
        <v>45831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29538-2023</t>
        </is>
      </c>
      <c r="B1054" s="1" t="n">
        <v>45106</v>
      </c>
      <c r="C1054" s="1" t="n">
        <v>45831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9.1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29675-2023</t>
        </is>
      </c>
      <c r="B1055" s="1" t="n">
        <v>45107</v>
      </c>
      <c r="C1055" s="1" t="n">
        <v>45831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29861-2023</t>
        </is>
      </c>
      <c r="B1056" s="1" t="n">
        <v>45107</v>
      </c>
      <c r="C1056" s="1" t="n">
        <v>45831</v>
      </c>
      <c r="D1056" t="inlineStr">
        <is>
          <t>VÄSTERBOTTENS LÄN</t>
        </is>
      </c>
      <c r="E1056" t="inlineStr">
        <is>
          <t>LYCKSELE</t>
        </is>
      </c>
      <c r="G1056" t="n">
        <v>10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29835-2023</t>
        </is>
      </c>
      <c r="B1057" s="1" t="n">
        <v>45107</v>
      </c>
      <c r="C1057" s="1" t="n">
        <v>45831</v>
      </c>
      <c r="D1057" t="inlineStr">
        <is>
          <t>VÄSTERBOTTENS LÄN</t>
        </is>
      </c>
      <c r="E1057" t="inlineStr">
        <is>
          <t>LYCKSELE</t>
        </is>
      </c>
      <c r="G1057" t="n">
        <v>17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29844-2023</t>
        </is>
      </c>
      <c r="B1058" s="1" t="n">
        <v>45107</v>
      </c>
      <c r="C1058" s="1" t="n">
        <v>45831</v>
      </c>
      <c r="D1058" t="inlineStr">
        <is>
          <t>VÄSTERBOTTENS LÄN</t>
        </is>
      </c>
      <c r="E1058" t="inlineStr">
        <is>
          <t>LYCKSELE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30271-2023</t>
        </is>
      </c>
      <c r="B1059" s="1" t="n">
        <v>45110</v>
      </c>
      <c r="C1059" s="1" t="n">
        <v>45831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8.300000000000001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30270-2023</t>
        </is>
      </c>
      <c r="B1060" s="1" t="n">
        <v>45110</v>
      </c>
      <c r="C1060" s="1" t="n">
        <v>45831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30804-2023</t>
        </is>
      </c>
      <c r="B1061" s="1" t="n">
        <v>45112</v>
      </c>
      <c r="C1061" s="1" t="n">
        <v>45831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9.6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30803-2023</t>
        </is>
      </c>
      <c r="B1062" s="1" t="n">
        <v>45112</v>
      </c>
      <c r="C1062" s="1" t="n">
        <v>45831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30805-2023</t>
        </is>
      </c>
      <c r="B1063" s="1" t="n">
        <v>45112</v>
      </c>
      <c r="C1063" s="1" t="n">
        <v>45831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18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33019-2023</t>
        </is>
      </c>
      <c r="B1064" s="1" t="n">
        <v>45113</v>
      </c>
      <c r="C1064" s="1" t="n">
        <v>45831</v>
      </c>
      <c r="D1064" t="inlineStr">
        <is>
          <t>VÄSTERBOTTENS LÄN</t>
        </is>
      </c>
      <c r="E1064" t="inlineStr">
        <is>
          <t>LYCKSELE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31410-2023</t>
        </is>
      </c>
      <c r="B1065" s="1" t="n">
        <v>45114</v>
      </c>
      <c r="C1065" s="1" t="n">
        <v>45831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31413-2023</t>
        </is>
      </c>
      <c r="B1066" s="1" t="n">
        <v>45114</v>
      </c>
      <c r="C1066" s="1" t="n">
        <v>45831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31412-2023</t>
        </is>
      </c>
      <c r="B1067" s="1" t="n">
        <v>45114</v>
      </c>
      <c r="C1067" s="1" t="n">
        <v>45831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31448-2023</t>
        </is>
      </c>
      <c r="B1068" s="1" t="n">
        <v>45114</v>
      </c>
      <c r="C1068" s="1" t="n">
        <v>45831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7.8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31683-2023</t>
        </is>
      </c>
      <c r="B1069" s="1" t="n">
        <v>45117</v>
      </c>
      <c r="C1069" s="1" t="n">
        <v>45831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31689-2023</t>
        </is>
      </c>
      <c r="B1070" s="1" t="n">
        <v>45117</v>
      </c>
      <c r="C1070" s="1" t="n">
        <v>45831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31698-2023</t>
        </is>
      </c>
      <c r="B1071" s="1" t="n">
        <v>45117</v>
      </c>
      <c r="C1071" s="1" t="n">
        <v>45831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31840-2023</t>
        </is>
      </c>
      <c r="B1072" s="1" t="n">
        <v>45118</v>
      </c>
      <c r="C1072" s="1" t="n">
        <v>45831</v>
      </c>
      <c r="D1072" t="inlineStr">
        <is>
          <t>VÄSTERBOTTENS LÄN</t>
        </is>
      </c>
      <c r="E1072" t="inlineStr">
        <is>
          <t>LYCKSELE</t>
        </is>
      </c>
      <c r="G1072" t="n">
        <v>15.6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32861-2023</t>
        </is>
      </c>
      <c r="B1073" s="1" t="n">
        <v>45124</v>
      </c>
      <c r="C1073" s="1" t="n">
        <v>45831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22.5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32863-2023</t>
        </is>
      </c>
      <c r="B1074" s="1" t="n">
        <v>45124</v>
      </c>
      <c r="C1074" s="1" t="n">
        <v>45831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32802-2023</t>
        </is>
      </c>
      <c r="B1075" s="1" t="n">
        <v>45124</v>
      </c>
      <c r="C1075" s="1" t="n">
        <v>45831</v>
      </c>
      <c r="D1075" t="inlineStr">
        <is>
          <t>VÄSTERBOTTENS LÄN</t>
        </is>
      </c>
      <c r="E1075" t="inlineStr">
        <is>
          <t>LYCKSELE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33156-2023</t>
        </is>
      </c>
      <c r="B1076" s="1" t="n">
        <v>45126</v>
      </c>
      <c r="C1076" s="1" t="n">
        <v>45831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33160-2023</t>
        </is>
      </c>
      <c r="B1077" s="1" t="n">
        <v>45126</v>
      </c>
      <c r="C1077" s="1" t="n">
        <v>45831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33153-2023</t>
        </is>
      </c>
      <c r="B1078" s="1" t="n">
        <v>45126</v>
      </c>
      <c r="C1078" s="1" t="n">
        <v>45831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33157-2023</t>
        </is>
      </c>
      <c r="B1079" s="1" t="n">
        <v>45126</v>
      </c>
      <c r="C1079" s="1" t="n">
        <v>45831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33155-2023</t>
        </is>
      </c>
      <c r="B1080" s="1" t="n">
        <v>45126</v>
      </c>
      <c r="C1080" s="1" t="n">
        <v>45831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33159-2023</t>
        </is>
      </c>
      <c r="B1081" s="1" t="n">
        <v>45126</v>
      </c>
      <c r="C1081" s="1" t="n">
        <v>45831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34214-2023</t>
        </is>
      </c>
      <c r="B1082" s="1" t="n">
        <v>45126</v>
      </c>
      <c r="C1082" s="1" t="n">
        <v>45831</v>
      </c>
      <c r="D1082" t="inlineStr">
        <is>
          <t>VÄSTERBOTTENS LÄN</t>
        </is>
      </c>
      <c r="E1082" t="inlineStr">
        <is>
          <t>LYCKSELE</t>
        </is>
      </c>
      <c r="G1082" t="n">
        <v>23.6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33332-2023</t>
        </is>
      </c>
      <c r="B1083" s="1" t="n">
        <v>45127</v>
      </c>
      <c r="C1083" s="1" t="n">
        <v>45831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33331-2023</t>
        </is>
      </c>
      <c r="B1084" s="1" t="n">
        <v>45127</v>
      </c>
      <c r="C1084" s="1" t="n">
        <v>45831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33400-2023</t>
        </is>
      </c>
      <c r="B1085" s="1" t="n">
        <v>45128</v>
      </c>
      <c r="C1085" s="1" t="n">
        <v>45831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34060-2023</t>
        </is>
      </c>
      <c r="B1086" s="1" t="n">
        <v>45135</v>
      </c>
      <c r="C1086" s="1" t="n">
        <v>45831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34066-2023</t>
        </is>
      </c>
      <c r="B1087" s="1" t="n">
        <v>45135</v>
      </c>
      <c r="C1087" s="1" t="n">
        <v>45831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34043-2023</t>
        </is>
      </c>
      <c r="B1088" s="1" t="n">
        <v>45135</v>
      </c>
      <c r="C1088" s="1" t="n">
        <v>45831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34191-2023</t>
        </is>
      </c>
      <c r="B1089" s="1" t="n">
        <v>45138</v>
      </c>
      <c r="C1089" s="1" t="n">
        <v>45831</v>
      </c>
      <c r="D1089" t="inlineStr">
        <is>
          <t>VÄSTERBOTTENS LÄN</t>
        </is>
      </c>
      <c r="E1089" t="inlineStr">
        <is>
          <t>LYCKSELE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34590-2023</t>
        </is>
      </c>
      <c r="B1090" s="1" t="n">
        <v>45140</v>
      </c>
      <c r="C1090" s="1" t="n">
        <v>45831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34567-2023</t>
        </is>
      </c>
      <c r="B1091" s="1" t="n">
        <v>45140</v>
      </c>
      <c r="C1091" s="1" t="n">
        <v>45831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34577-2023</t>
        </is>
      </c>
      <c r="B1092" s="1" t="n">
        <v>45140</v>
      </c>
      <c r="C1092" s="1" t="n">
        <v>45831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34584-2023</t>
        </is>
      </c>
      <c r="B1093" s="1" t="n">
        <v>45140</v>
      </c>
      <c r="C1093" s="1" t="n">
        <v>45831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34639-2023</t>
        </is>
      </c>
      <c r="B1094" s="1" t="n">
        <v>45140</v>
      </c>
      <c r="C1094" s="1" t="n">
        <v>45831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34527-2023</t>
        </is>
      </c>
      <c r="B1095" s="1" t="n">
        <v>45140</v>
      </c>
      <c r="C1095" s="1" t="n">
        <v>45831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34701-2023</t>
        </is>
      </c>
      <c r="B1096" s="1" t="n">
        <v>45141</v>
      </c>
      <c r="C1096" s="1" t="n">
        <v>45831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34849-2023</t>
        </is>
      </c>
      <c r="B1097" s="1" t="n">
        <v>45142</v>
      </c>
      <c r="C1097" s="1" t="n">
        <v>45831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34903-2023</t>
        </is>
      </c>
      <c r="B1098" s="1" t="n">
        <v>45142</v>
      </c>
      <c r="C1098" s="1" t="n">
        <v>45831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34929-2023</t>
        </is>
      </c>
      <c r="B1099" s="1" t="n">
        <v>45142</v>
      </c>
      <c r="C1099" s="1" t="n">
        <v>45831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34933-2023</t>
        </is>
      </c>
      <c r="B1100" s="1" t="n">
        <v>45142</v>
      </c>
      <c r="C1100" s="1" t="n">
        <v>45831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5.6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35227-2023</t>
        </is>
      </c>
      <c r="B1101" s="1" t="n">
        <v>45145</v>
      </c>
      <c r="C1101" s="1" t="n">
        <v>45831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35284-2023</t>
        </is>
      </c>
      <c r="B1102" s="1" t="n">
        <v>45145</v>
      </c>
      <c r="C1102" s="1" t="n">
        <v>45831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35283-2023</t>
        </is>
      </c>
      <c r="B1103" s="1" t="n">
        <v>45145</v>
      </c>
      <c r="C1103" s="1" t="n">
        <v>45831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0.1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35285-2023</t>
        </is>
      </c>
      <c r="B1104" s="1" t="n">
        <v>45145</v>
      </c>
      <c r="C1104" s="1" t="n">
        <v>45831</v>
      </c>
      <c r="D1104" t="inlineStr">
        <is>
          <t>VÄSTERBOTTENS LÄN</t>
        </is>
      </c>
      <c r="E1104" t="inlineStr">
        <is>
          <t>LYCKSELE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35633-2023</t>
        </is>
      </c>
      <c r="B1105" s="1" t="n">
        <v>45146</v>
      </c>
      <c r="C1105" s="1" t="n">
        <v>45831</v>
      </c>
      <c r="D1105" t="inlineStr">
        <is>
          <t>VÄSTERBOTTENS LÄN</t>
        </is>
      </c>
      <c r="E1105" t="inlineStr">
        <is>
          <t>LYCKSELE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35559-2023</t>
        </is>
      </c>
      <c r="B1106" s="1" t="n">
        <v>45147</v>
      </c>
      <c r="C1106" s="1" t="n">
        <v>45831</v>
      </c>
      <c r="D1106" t="inlineStr">
        <is>
          <t>VÄSTERBOTTENS LÄN</t>
        </is>
      </c>
      <c r="E1106" t="inlineStr">
        <is>
          <t>LYCKSELE</t>
        </is>
      </c>
      <c r="G1106" t="n">
        <v>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35561-2023</t>
        </is>
      </c>
      <c r="B1107" s="1" t="n">
        <v>45147</v>
      </c>
      <c r="C1107" s="1" t="n">
        <v>45831</v>
      </c>
      <c r="D1107" t="inlineStr">
        <is>
          <t>VÄSTERBOTTENS LÄN</t>
        </is>
      </c>
      <c r="E1107" t="inlineStr">
        <is>
          <t>LYCKSELE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35765-2023</t>
        </is>
      </c>
      <c r="B1108" s="1" t="n">
        <v>45148</v>
      </c>
      <c r="C1108" s="1" t="n">
        <v>45831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36132-2023</t>
        </is>
      </c>
      <c r="B1109" s="1" t="n">
        <v>45149</v>
      </c>
      <c r="C1109" s="1" t="n">
        <v>45831</v>
      </c>
      <c r="D1109" t="inlineStr">
        <is>
          <t>VÄSTERBOTTENS LÄN</t>
        </is>
      </c>
      <c r="E1109" t="inlineStr">
        <is>
          <t>LYCKSELE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36146-2023</t>
        </is>
      </c>
      <c r="B1110" s="1" t="n">
        <v>45149</v>
      </c>
      <c r="C1110" s="1" t="n">
        <v>45831</v>
      </c>
      <c r="D1110" t="inlineStr">
        <is>
          <t>VÄSTERBOTTENS LÄN</t>
        </is>
      </c>
      <c r="E1110" t="inlineStr">
        <is>
          <t>LYCKSELE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36267-2023</t>
        </is>
      </c>
      <c r="B1111" s="1" t="n">
        <v>45152</v>
      </c>
      <c r="C1111" s="1" t="n">
        <v>45831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36375-2023</t>
        </is>
      </c>
      <c r="B1112" s="1" t="n">
        <v>45152</v>
      </c>
      <c r="C1112" s="1" t="n">
        <v>45831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36335-2023</t>
        </is>
      </c>
      <c r="B1113" s="1" t="n">
        <v>45152</v>
      </c>
      <c r="C1113" s="1" t="n">
        <v>45831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36611-2023</t>
        </is>
      </c>
      <c r="B1114" s="1" t="n">
        <v>45152</v>
      </c>
      <c r="C1114" s="1" t="n">
        <v>45831</v>
      </c>
      <c r="D1114" t="inlineStr">
        <is>
          <t>VÄSTERBOTTENS LÄN</t>
        </is>
      </c>
      <c r="E1114" t="inlineStr">
        <is>
          <t>LYCKSELE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36604-2023</t>
        </is>
      </c>
      <c r="B1115" s="1" t="n">
        <v>45152</v>
      </c>
      <c r="C1115" s="1" t="n">
        <v>45831</v>
      </c>
      <c r="D1115" t="inlineStr">
        <is>
          <t>VÄSTERBOTTENS LÄN</t>
        </is>
      </c>
      <c r="E1115" t="inlineStr">
        <is>
          <t>LYCKSELE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36619-2023</t>
        </is>
      </c>
      <c r="B1116" s="1" t="n">
        <v>45152</v>
      </c>
      <c r="C1116" s="1" t="n">
        <v>45831</v>
      </c>
      <c r="D1116" t="inlineStr">
        <is>
          <t>VÄSTERBOTTENS LÄN</t>
        </is>
      </c>
      <c r="E1116" t="inlineStr">
        <is>
          <t>LYCKSELE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36867-2023</t>
        </is>
      </c>
      <c r="B1117" s="1" t="n">
        <v>45154</v>
      </c>
      <c r="C1117" s="1" t="n">
        <v>45831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36875-2023</t>
        </is>
      </c>
      <c r="B1118" s="1" t="n">
        <v>45154</v>
      </c>
      <c r="C1118" s="1" t="n">
        <v>45831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36900-2023</t>
        </is>
      </c>
      <c r="B1119" s="1" t="n">
        <v>45154</v>
      </c>
      <c r="C1119" s="1" t="n">
        <v>45831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36851-2023</t>
        </is>
      </c>
      <c r="B1120" s="1" t="n">
        <v>45154</v>
      </c>
      <c r="C1120" s="1" t="n">
        <v>45831</v>
      </c>
      <c r="D1120" t="inlineStr">
        <is>
          <t>VÄSTERBOTTENS LÄN</t>
        </is>
      </c>
      <c r="E1120" t="inlineStr">
        <is>
          <t>LYCKSELE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37262-2023</t>
        </is>
      </c>
      <c r="B1121" s="1" t="n">
        <v>45155</v>
      </c>
      <c r="C1121" s="1" t="n">
        <v>45831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37271-2023</t>
        </is>
      </c>
      <c r="B1122" s="1" t="n">
        <v>45155</v>
      </c>
      <c r="C1122" s="1" t="n">
        <v>45831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37491-2023</t>
        </is>
      </c>
      <c r="B1123" s="1" t="n">
        <v>45156</v>
      </c>
      <c r="C1123" s="1" t="n">
        <v>45831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37840-2023</t>
        </is>
      </c>
      <c r="B1124" s="1" t="n">
        <v>45156</v>
      </c>
      <c r="C1124" s="1" t="n">
        <v>45831</v>
      </c>
      <c r="D1124" t="inlineStr">
        <is>
          <t>VÄSTERBOTTENS LÄN</t>
        </is>
      </c>
      <c r="E1124" t="inlineStr">
        <is>
          <t>LYCKSELE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37842-2023</t>
        </is>
      </c>
      <c r="B1125" s="1" t="n">
        <v>45156</v>
      </c>
      <c r="C1125" s="1" t="n">
        <v>45831</v>
      </c>
      <c r="D1125" t="inlineStr">
        <is>
          <t>VÄSTERBOTTENS LÄN</t>
        </is>
      </c>
      <c r="E1125" t="inlineStr">
        <is>
          <t>LYCKSELE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37607-2023</t>
        </is>
      </c>
      <c r="B1126" s="1" t="n">
        <v>45159</v>
      </c>
      <c r="C1126" s="1" t="n">
        <v>45831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38183-2023</t>
        </is>
      </c>
      <c r="B1127" s="1" t="n">
        <v>45161</v>
      </c>
      <c r="C1127" s="1" t="n">
        <v>45831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38250-2023</t>
        </is>
      </c>
      <c r="B1128" s="1" t="n">
        <v>45161</v>
      </c>
      <c r="C1128" s="1" t="n">
        <v>45831</v>
      </c>
      <c r="D1128" t="inlineStr">
        <is>
          <t>VÄSTERBOTTENS LÄN</t>
        </is>
      </c>
      <c r="E1128" t="inlineStr">
        <is>
          <t>LYCKSELE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38236-2023</t>
        </is>
      </c>
      <c r="B1129" s="1" t="n">
        <v>45161</v>
      </c>
      <c r="C1129" s="1" t="n">
        <v>45831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9.5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39047-2023</t>
        </is>
      </c>
      <c r="B1130" s="1" t="n">
        <v>45164</v>
      </c>
      <c r="C1130" s="1" t="n">
        <v>45831</v>
      </c>
      <c r="D1130" t="inlineStr">
        <is>
          <t>VÄSTERBOTTENS LÄN</t>
        </is>
      </c>
      <c r="E1130" t="inlineStr">
        <is>
          <t>LYCKSELE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39250-2023</t>
        </is>
      </c>
      <c r="B1131" s="1" t="n">
        <v>45166</v>
      </c>
      <c r="C1131" s="1" t="n">
        <v>45831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13.9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39409-2023</t>
        </is>
      </c>
      <c r="B1132" s="1" t="n">
        <v>45166</v>
      </c>
      <c r="C1132" s="1" t="n">
        <v>45831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12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39410-2023</t>
        </is>
      </c>
      <c r="B1133" s="1" t="n">
        <v>45166</v>
      </c>
      <c r="C1133" s="1" t="n">
        <v>45831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39393-2023</t>
        </is>
      </c>
      <c r="B1134" s="1" t="n">
        <v>45166</v>
      </c>
      <c r="C1134" s="1" t="n">
        <v>45831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15.2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39397-2023</t>
        </is>
      </c>
      <c r="B1135" s="1" t="n">
        <v>45166</v>
      </c>
      <c r="C1135" s="1" t="n">
        <v>45831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39402-2023</t>
        </is>
      </c>
      <c r="B1136" s="1" t="n">
        <v>45166</v>
      </c>
      <c r="C1136" s="1" t="n">
        <v>45831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39767-2023</t>
        </is>
      </c>
      <c r="B1137" s="1" t="n">
        <v>45167</v>
      </c>
      <c r="C1137" s="1" t="n">
        <v>45831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39965-2023</t>
        </is>
      </c>
      <c r="B1138" s="1" t="n">
        <v>45168</v>
      </c>
      <c r="C1138" s="1" t="n">
        <v>45831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40594-2023</t>
        </is>
      </c>
      <c r="B1139" s="1" t="n">
        <v>45170</v>
      </c>
      <c r="C1139" s="1" t="n">
        <v>45831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7.2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40524-2023</t>
        </is>
      </c>
      <c r="B1140" s="1" t="n">
        <v>45170</v>
      </c>
      <c r="C1140" s="1" t="n">
        <v>45831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40930-2023</t>
        </is>
      </c>
      <c r="B1141" s="1" t="n">
        <v>45173</v>
      </c>
      <c r="C1141" s="1" t="n">
        <v>45831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41361-2023</t>
        </is>
      </c>
      <c r="B1142" s="1" t="n">
        <v>45174</v>
      </c>
      <c r="C1142" s="1" t="n">
        <v>45831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41358-2023</t>
        </is>
      </c>
      <c r="B1143" s="1" t="n">
        <v>45174</v>
      </c>
      <c r="C1143" s="1" t="n">
        <v>45831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41356-2023</t>
        </is>
      </c>
      <c r="B1144" s="1" t="n">
        <v>45174</v>
      </c>
      <c r="C1144" s="1" t="n">
        <v>45831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42024-2023</t>
        </is>
      </c>
      <c r="B1145" s="1" t="n">
        <v>45174</v>
      </c>
      <c r="C1145" s="1" t="n">
        <v>45831</v>
      </c>
      <c r="D1145" t="inlineStr">
        <is>
          <t>VÄSTERBOTTENS LÄN</t>
        </is>
      </c>
      <c r="E1145" t="inlineStr">
        <is>
          <t>LYCKSELE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41465-2023</t>
        </is>
      </c>
      <c r="B1146" s="1" t="n">
        <v>45175</v>
      </c>
      <c r="C1146" s="1" t="n">
        <v>45831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41419-2023</t>
        </is>
      </c>
      <c r="B1147" s="1" t="n">
        <v>45175</v>
      </c>
      <c r="C1147" s="1" t="n">
        <v>45831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41423-2023</t>
        </is>
      </c>
      <c r="B1148" s="1" t="n">
        <v>45175</v>
      </c>
      <c r="C1148" s="1" t="n">
        <v>45831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41728-2023</t>
        </is>
      </c>
      <c r="B1149" s="1" t="n">
        <v>45176</v>
      </c>
      <c r="C1149" s="1" t="n">
        <v>45831</v>
      </c>
      <c r="D1149" t="inlineStr">
        <is>
          <t>VÄSTERBOTTENS LÄN</t>
        </is>
      </c>
      <c r="E1149" t="inlineStr">
        <is>
          <t>LYCKSELE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41703-2023</t>
        </is>
      </c>
      <c r="B1150" s="1" t="n">
        <v>45176</v>
      </c>
      <c r="C1150" s="1" t="n">
        <v>45831</v>
      </c>
      <c r="D1150" t="inlineStr">
        <is>
          <t>VÄSTERBOTTENS LÄN</t>
        </is>
      </c>
      <c r="E1150" t="inlineStr">
        <is>
          <t>LYCKSELE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41707-2023</t>
        </is>
      </c>
      <c r="B1151" s="1" t="n">
        <v>45176</v>
      </c>
      <c r="C1151" s="1" t="n">
        <v>45831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41711-2023</t>
        </is>
      </c>
      <c r="B1152" s="1" t="n">
        <v>45176</v>
      </c>
      <c r="C1152" s="1" t="n">
        <v>45831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42457-2023</t>
        </is>
      </c>
      <c r="B1153" s="1" t="n">
        <v>45180</v>
      </c>
      <c r="C1153" s="1" t="n">
        <v>45831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9.300000000000001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42466-2023</t>
        </is>
      </c>
      <c r="B1154" s="1" t="n">
        <v>45180</v>
      </c>
      <c r="C1154" s="1" t="n">
        <v>45831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42475-2023</t>
        </is>
      </c>
      <c r="B1155" s="1" t="n">
        <v>45180</v>
      </c>
      <c r="C1155" s="1" t="n">
        <v>45831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42747-2023</t>
        </is>
      </c>
      <c r="B1156" s="1" t="n">
        <v>45181</v>
      </c>
      <c r="C1156" s="1" t="n">
        <v>45831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9.199999999999999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42814-2023</t>
        </is>
      </c>
      <c r="B1157" s="1" t="n">
        <v>45182</v>
      </c>
      <c r="C1157" s="1" t="n">
        <v>45831</v>
      </c>
      <c r="D1157" t="inlineStr">
        <is>
          <t>VÄSTERBOTTENS LÄN</t>
        </is>
      </c>
      <c r="E1157" t="inlineStr">
        <is>
          <t>LYCKSELE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43134-2023</t>
        </is>
      </c>
      <c r="B1158" s="1" t="n">
        <v>45182</v>
      </c>
      <c r="C1158" s="1" t="n">
        <v>45831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SCA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43298-2023</t>
        </is>
      </c>
      <c r="B1159" s="1" t="n">
        <v>45183</v>
      </c>
      <c r="C1159" s="1" t="n">
        <v>45831</v>
      </c>
      <c r="D1159" t="inlineStr">
        <is>
          <t>VÄSTERBOTTENS LÄN</t>
        </is>
      </c>
      <c r="E1159" t="inlineStr">
        <is>
          <t>LYCKSELE</t>
        </is>
      </c>
      <c r="G1159" t="n">
        <v>6.4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43496-2023</t>
        </is>
      </c>
      <c r="B1160" s="1" t="n">
        <v>45184</v>
      </c>
      <c r="C1160" s="1" t="n">
        <v>45831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14.4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43614-2023</t>
        </is>
      </c>
      <c r="B1161" s="1" t="n">
        <v>45184</v>
      </c>
      <c r="C1161" s="1" t="n">
        <v>45831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5.2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43561-2023</t>
        </is>
      </c>
      <c r="B1162" s="1" t="n">
        <v>45184</v>
      </c>
      <c r="C1162" s="1" t="n">
        <v>45831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Holmen skog AB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43636-2023</t>
        </is>
      </c>
      <c r="B1163" s="1" t="n">
        <v>45186</v>
      </c>
      <c r="C1163" s="1" t="n">
        <v>45831</v>
      </c>
      <c r="D1163" t="inlineStr">
        <is>
          <t>VÄSTERBOTTENS LÄN</t>
        </is>
      </c>
      <c r="E1163" t="inlineStr">
        <is>
          <t>LYCKSELE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43671-2023</t>
        </is>
      </c>
      <c r="B1164" s="1" t="n">
        <v>45187</v>
      </c>
      <c r="C1164" s="1" t="n">
        <v>45831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43878-2023</t>
        </is>
      </c>
      <c r="B1165" s="1" t="n">
        <v>45187</v>
      </c>
      <c r="C1165" s="1" t="n">
        <v>45831</v>
      </c>
      <c r="D1165" t="inlineStr">
        <is>
          <t>VÄSTERBOTTENS LÄN</t>
        </is>
      </c>
      <c r="E1165" t="inlineStr">
        <is>
          <t>LYCKSELE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43727-2023</t>
        </is>
      </c>
      <c r="B1166" s="1" t="n">
        <v>45187</v>
      </c>
      <c r="C1166" s="1" t="n">
        <v>45831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43702-2023</t>
        </is>
      </c>
      <c r="B1167" s="1" t="n">
        <v>45187</v>
      </c>
      <c r="C1167" s="1" t="n">
        <v>45831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9.6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43875-2023</t>
        </is>
      </c>
      <c r="B1168" s="1" t="n">
        <v>45187</v>
      </c>
      <c r="C1168" s="1" t="n">
        <v>45831</v>
      </c>
      <c r="D1168" t="inlineStr">
        <is>
          <t>VÄSTERBOTTENS LÄN</t>
        </is>
      </c>
      <c r="E1168" t="inlineStr">
        <is>
          <t>LYCKSELE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43973-2023</t>
        </is>
      </c>
      <c r="B1169" s="1" t="n">
        <v>45187</v>
      </c>
      <c r="C1169" s="1" t="n">
        <v>45831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SCA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44332-2023</t>
        </is>
      </c>
      <c r="B1170" s="1" t="n">
        <v>45188</v>
      </c>
      <c r="C1170" s="1" t="n">
        <v>45831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44375-2023</t>
        </is>
      </c>
      <c r="B1171" s="1" t="n">
        <v>45189</v>
      </c>
      <c r="C1171" s="1" t="n">
        <v>45831</v>
      </c>
      <c r="D1171" t="inlineStr">
        <is>
          <t>VÄSTERBOTTENS LÄN</t>
        </is>
      </c>
      <c r="E1171" t="inlineStr">
        <is>
          <t>LYCKSELE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44755-2023</t>
        </is>
      </c>
      <c r="B1172" s="1" t="n">
        <v>45190</v>
      </c>
      <c r="C1172" s="1" t="n">
        <v>45831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44851-2023</t>
        </is>
      </c>
      <c r="B1173" s="1" t="n">
        <v>45190</v>
      </c>
      <c r="C1173" s="1" t="n">
        <v>45831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8.199999999999999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44892-2023</t>
        </is>
      </c>
      <c r="B1174" s="1" t="n">
        <v>45190</v>
      </c>
      <c r="C1174" s="1" t="n">
        <v>45831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46072-2023</t>
        </is>
      </c>
      <c r="B1175" s="1" t="n">
        <v>45190</v>
      </c>
      <c r="C1175" s="1" t="n">
        <v>45831</v>
      </c>
      <c r="D1175" t="inlineStr">
        <is>
          <t>VÄSTERBOTTENS LÄN</t>
        </is>
      </c>
      <c r="E1175" t="inlineStr">
        <is>
          <t>LYCKSELE</t>
        </is>
      </c>
      <c r="G1175" t="n">
        <v>7.1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45130-2023</t>
        </is>
      </c>
      <c r="B1176" s="1" t="n">
        <v>45191</v>
      </c>
      <c r="C1176" s="1" t="n">
        <v>45831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46132-2023</t>
        </is>
      </c>
      <c r="B1177" s="1" t="n">
        <v>45196</v>
      </c>
      <c r="C1177" s="1" t="n">
        <v>45831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46176-2023</t>
        </is>
      </c>
      <c r="B1178" s="1" t="n">
        <v>45196</v>
      </c>
      <c r="C1178" s="1" t="n">
        <v>45831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46183-2023</t>
        </is>
      </c>
      <c r="B1179" s="1" t="n">
        <v>45196</v>
      </c>
      <c r="C1179" s="1" t="n">
        <v>45831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46638-2023</t>
        </is>
      </c>
      <c r="B1180" s="1" t="n">
        <v>45198</v>
      </c>
      <c r="C1180" s="1" t="n">
        <v>45831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46826-2023</t>
        </is>
      </c>
      <c r="B1181" s="1" t="n">
        <v>45199</v>
      </c>
      <c r="C1181" s="1" t="n">
        <v>45831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46897-2023</t>
        </is>
      </c>
      <c r="B1182" s="1" t="n">
        <v>45201</v>
      </c>
      <c r="C1182" s="1" t="n">
        <v>45831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46896-2023</t>
        </is>
      </c>
      <c r="B1183" s="1" t="n">
        <v>45201</v>
      </c>
      <c r="C1183" s="1" t="n">
        <v>45831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47117-2023</t>
        </is>
      </c>
      <c r="B1184" s="1" t="n">
        <v>45201</v>
      </c>
      <c r="C1184" s="1" t="n">
        <v>45831</v>
      </c>
      <c r="D1184" t="inlineStr">
        <is>
          <t>VÄSTERBOTTENS LÄN</t>
        </is>
      </c>
      <c r="E1184" t="inlineStr">
        <is>
          <t>LYCKSELE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47096-2023</t>
        </is>
      </c>
      <c r="B1185" s="1" t="n">
        <v>45201</v>
      </c>
      <c r="C1185" s="1" t="n">
        <v>45831</v>
      </c>
      <c r="D1185" t="inlineStr">
        <is>
          <t>VÄSTERBOTTENS LÄN</t>
        </is>
      </c>
      <c r="E1185" t="inlineStr">
        <is>
          <t>LYCKSELE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48876-2023</t>
        </is>
      </c>
      <c r="B1186" s="1" t="n">
        <v>45203</v>
      </c>
      <c r="C1186" s="1" t="n">
        <v>45831</v>
      </c>
      <c r="D1186" t="inlineStr">
        <is>
          <t>VÄSTERBOTTENS LÄN</t>
        </is>
      </c>
      <c r="E1186" t="inlineStr">
        <is>
          <t>LYCKSELE</t>
        </is>
      </c>
      <c r="G1186" t="n">
        <v>9.9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47982-2023</t>
        </is>
      </c>
      <c r="B1187" s="1" t="n">
        <v>45204</v>
      </c>
      <c r="C1187" s="1" t="n">
        <v>45831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48008-2023</t>
        </is>
      </c>
      <c r="B1188" s="1" t="n">
        <v>45204</v>
      </c>
      <c r="C1188" s="1" t="n">
        <v>45831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48230-2023</t>
        </is>
      </c>
      <c r="B1189" s="1" t="n">
        <v>45205</v>
      </c>
      <c r="C1189" s="1" t="n">
        <v>45831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7.2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48534-2023</t>
        </is>
      </c>
      <c r="B1190" s="1" t="n">
        <v>45208</v>
      </c>
      <c r="C1190" s="1" t="n">
        <v>45831</v>
      </c>
      <c r="D1190" t="inlineStr">
        <is>
          <t>VÄSTERBOTTENS LÄN</t>
        </is>
      </c>
      <c r="E1190" t="inlineStr">
        <is>
          <t>LYCKSELE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48542-2023</t>
        </is>
      </c>
      <c r="B1191" s="1" t="n">
        <v>45208</v>
      </c>
      <c r="C1191" s="1" t="n">
        <v>45831</v>
      </c>
      <c r="D1191" t="inlineStr">
        <is>
          <t>VÄSTERBOTTENS LÄN</t>
        </is>
      </c>
      <c r="E1191" t="inlineStr">
        <is>
          <t>LYCKSELE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48992-2023</t>
        </is>
      </c>
      <c r="B1192" s="1" t="n">
        <v>45209</v>
      </c>
      <c r="C1192" s="1" t="n">
        <v>45831</v>
      </c>
      <c r="D1192" t="inlineStr">
        <is>
          <t>VÄSTERBOTTENS LÄN</t>
        </is>
      </c>
      <c r="E1192" t="inlineStr">
        <is>
          <t>LYCKSELE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49175-2023</t>
        </is>
      </c>
      <c r="B1193" s="1" t="n">
        <v>45210</v>
      </c>
      <c r="C1193" s="1" t="n">
        <v>45831</v>
      </c>
      <c r="D1193" t="inlineStr">
        <is>
          <t>VÄSTERBOTTENS LÄN</t>
        </is>
      </c>
      <c r="E1193" t="inlineStr">
        <is>
          <t>LYCKSELE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49335-2023</t>
        </is>
      </c>
      <c r="B1194" s="1" t="n">
        <v>45211</v>
      </c>
      <c r="C1194" s="1" t="n">
        <v>45831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49407-2023</t>
        </is>
      </c>
      <c r="B1195" s="1" t="n">
        <v>45211</v>
      </c>
      <c r="C1195" s="1" t="n">
        <v>45831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49492-2023</t>
        </is>
      </c>
      <c r="B1196" s="1" t="n">
        <v>45211</v>
      </c>
      <c r="C1196" s="1" t="n">
        <v>45831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49631-2023</t>
        </is>
      </c>
      <c r="B1197" s="1" t="n">
        <v>45211</v>
      </c>
      <c r="C1197" s="1" t="n">
        <v>45831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Kommuner</t>
        </is>
      </c>
      <c r="G1197" t="n">
        <v>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50004-2023</t>
        </is>
      </c>
      <c r="B1198" s="1" t="n">
        <v>45215</v>
      </c>
      <c r="C1198" s="1" t="n">
        <v>45831</v>
      </c>
      <c r="D1198" t="inlineStr">
        <is>
          <t>VÄSTERBOTTENS LÄN</t>
        </is>
      </c>
      <c r="E1198" t="inlineStr">
        <is>
          <t>LYCKSELE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50545-2023</t>
        </is>
      </c>
      <c r="B1199" s="1" t="n">
        <v>45217</v>
      </c>
      <c r="C1199" s="1" t="n">
        <v>45831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50555-2023</t>
        </is>
      </c>
      <c r="B1200" s="1" t="n">
        <v>45217</v>
      </c>
      <c r="C1200" s="1" t="n">
        <v>45831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50560-2023</t>
        </is>
      </c>
      <c r="B1201" s="1" t="n">
        <v>45217</v>
      </c>
      <c r="C1201" s="1" t="n">
        <v>45831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50600-2023</t>
        </is>
      </c>
      <c r="B1202" s="1" t="n">
        <v>45217</v>
      </c>
      <c r="C1202" s="1" t="n">
        <v>45831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50814-2023</t>
        </is>
      </c>
      <c r="B1203" s="1" t="n">
        <v>45217</v>
      </c>
      <c r="C1203" s="1" t="n">
        <v>45831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50565-2023</t>
        </is>
      </c>
      <c r="B1204" s="1" t="n">
        <v>45217</v>
      </c>
      <c r="C1204" s="1" t="n">
        <v>45831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50573-2023</t>
        </is>
      </c>
      <c r="B1205" s="1" t="n">
        <v>45217</v>
      </c>
      <c r="C1205" s="1" t="n">
        <v>45831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50578-2023</t>
        </is>
      </c>
      <c r="B1206" s="1" t="n">
        <v>45217</v>
      </c>
      <c r="C1206" s="1" t="n">
        <v>45831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50583-2023</t>
        </is>
      </c>
      <c r="B1207" s="1" t="n">
        <v>45217</v>
      </c>
      <c r="C1207" s="1" t="n">
        <v>45831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9.5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51048-2023</t>
        </is>
      </c>
      <c r="B1208" s="1" t="n">
        <v>45218</v>
      </c>
      <c r="C1208" s="1" t="n">
        <v>45831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51038-2023</t>
        </is>
      </c>
      <c r="B1209" s="1" t="n">
        <v>45218</v>
      </c>
      <c r="C1209" s="1" t="n">
        <v>45831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51368-2023</t>
        </is>
      </c>
      <c r="B1210" s="1" t="n">
        <v>45219</v>
      </c>
      <c r="C1210" s="1" t="n">
        <v>45831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Holmen skog AB</t>
        </is>
      </c>
      <c r="G1210" t="n">
        <v>9.199999999999999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51953-2023</t>
        </is>
      </c>
      <c r="B1211" s="1" t="n">
        <v>45223</v>
      </c>
      <c r="C1211" s="1" t="n">
        <v>45831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51957-2023</t>
        </is>
      </c>
      <c r="B1212" s="1" t="n">
        <v>45223</v>
      </c>
      <c r="C1212" s="1" t="n">
        <v>45831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52002-2023</t>
        </is>
      </c>
      <c r="B1213" s="1" t="n">
        <v>45223</v>
      </c>
      <c r="C1213" s="1" t="n">
        <v>45831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52019-2023</t>
        </is>
      </c>
      <c r="B1214" s="1" t="n">
        <v>45223</v>
      </c>
      <c r="C1214" s="1" t="n">
        <v>45831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52132-2023</t>
        </is>
      </c>
      <c r="B1215" s="1" t="n">
        <v>45224</v>
      </c>
      <c r="C1215" s="1" t="n">
        <v>45831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52039-2023</t>
        </is>
      </c>
      <c r="B1216" s="1" t="n">
        <v>45223</v>
      </c>
      <c r="C1216" s="1" t="n">
        <v>45831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53496-2023</t>
        </is>
      </c>
      <c r="B1217" s="1" t="n">
        <v>45223</v>
      </c>
      <c r="C1217" s="1" t="n">
        <v>45831</v>
      </c>
      <c r="D1217" t="inlineStr">
        <is>
          <t>VÄSTERBOTTENS LÄN</t>
        </is>
      </c>
      <c r="E1217" t="inlineStr">
        <is>
          <t>LYCKSELE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53501-2023</t>
        </is>
      </c>
      <c r="B1218" s="1" t="n">
        <v>45223</v>
      </c>
      <c r="C1218" s="1" t="n">
        <v>45831</v>
      </c>
      <c r="D1218" t="inlineStr">
        <is>
          <t>VÄSTERBOTTENS LÄN</t>
        </is>
      </c>
      <c r="E1218" t="inlineStr">
        <is>
          <t>LYCKSELE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52205-2023</t>
        </is>
      </c>
      <c r="B1219" s="1" t="n">
        <v>45224</v>
      </c>
      <c r="C1219" s="1" t="n">
        <v>45831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52547-2023</t>
        </is>
      </c>
      <c r="B1220" s="1" t="n">
        <v>45225</v>
      </c>
      <c r="C1220" s="1" t="n">
        <v>45831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52727-2023</t>
        </is>
      </c>
      <c r="B1221" s="1" t="n">
        <v>45226</v>
      </c>
      <c r="C1221" s="1" t="n">
        <v>45831</v>
      </c>
      <c r="D1221" t="inlineStr">
        <is>
          <t>VÄSTERBOTTENS LÄN</t>
        </is>
      </c>
      <c r="E1221" t="inlineStr">
        <is>
          <t>LYCKSELE</t>
        </is>
      </c>
      <c r="G1221" t="n">
        <v>4.6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54370-2023</t>
        </is>
      </c>
      <c r="B1222" s="1" t="n">
        <v>45225</v>
      </c>
      <c r="C1222" s="1" t="n">
        <v>45831</v>
      </c>
      <c r="D1222" t="inlineStr">
        <is>
          <t>VÄSTERBOTTENS LÄN</t>
        </is>
      </c>
      <c r="E1222" t="inlineStr">
        <is>
          <t>LYCKSELE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52755-2023</t>
        </is>
      </c>
      <c r="B1223" s="1" t="n">
        <v>45226</v>
      </c>
      <c r="C1223" s="1" t="n">
        <v>45831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54378-2023</t>
        </is>
      </c>
      <c r="B1224" s="1" t="n">
        <v>45225</v>
      </c>
      <c r="C1224" s="1" t="n">
        <v>45831</v>
      </c>
      <c r="D1224" t="inlineStr">
        <is>
          <t>VÄSTERBOTTENS LÄN</t>
        </is>
      </c>
      <c r="E1224" t="inlineStr">
        <is>
          <t>LYCKSELE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52896-2023</t>
        </is>
      </c>
      <c r="B1225" s="1" t="n">
        <v>45226</v>
      </c>
      <c r="C1225" s="1" t="n">
        <v>45831</v>
      </c>
      <c r="D1225" t="inlineStr">
        <is>
          <t>VÄSTERBOTTENS LÄN</t>
        </is>
      </c>
      <c r="E1225" t="inlineStr">
        <is>
          <t>LYCKSELE</t>
        </is>
      </c>
      <c r="G1225" t="n">
        <v>14.2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54539-2023</t>
        </is>
      </c>
      <c r="B1226" s="1" t="n">
        <v>45226</v>
      </c>
      <c r="C1226" s="1" t="n">
        <v>45831</v>
      </c>
      <c r="D1226" t="inlineStr">
        <is>
          <t>VÄSTERBOTTENS LÄN</t>
        </is>
      </c>
      <c r="E1226" t="inlineStr">
        <is>
          <t>LYCKSELE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52990-2023</t>
        </is>
      </c>
      <c r="B1227" s="1" t="n">
        <v>45226</v>
      </c>
      <c r="C1227" s="1" t="n">
        <v>45831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52927-2023</t>
        </is>
      </c>
      <c r="B1228" s="1" t="n">
        <v>45226</v>
      </c>
      <c r="C1228" s="1" t="n">
        <v>45831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26.5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53035-2023</t>
        </is>
      </c>
      <c r="B1229" s="1" t="n">
        <v>45227</v>
      </c>
      <c r="C1229" s="1" t="n">
        <v>45831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53037-2023</t>
        </is>
      </c>
      <c r="B1230" s="1" t="n">
        <v>45226</v>
      </c>
      <c r="C1230" s="1" t="n">
        <v>45831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SCA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53036-2023</t>
        </is>
      </c>
      <c r="B1231" s="1" t="n">
        <v>45227</v>
      </c>
      <c r="C1231" s="1" t="n">
        <v>45831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54840-2023</t>
        </is>
      </c>
      <c r="B1232" s="1" t="n">
        <v>45229</v>
      </c>
      <c r="C1232" s="1" t="n">
        <v>45831</v>
      </c>
      <c r="D1232" t="inlineStr">
        <is>
          <t>VÄSTERBOTTENS LÄN</t>
        </is>
      </c>
      <c r="E1232" t="inlineStr">
        <is>
          <t>LYCKSELE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53571-2023</t>
        </is>
      </c>
      <c r="B1233" s="1" t="n">
        <v>45230</v>
      </c>
      <c r="C1233" s="1" t="n">
        <v>45831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53582-2023</t>
        </is>
      </c>
      <c r="B1234" s="1" t="n">
        <v>45230</v>
      </c>
      <c r="C1234" s="1" t="n">
        <v>45831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53813-2023</t>
        </is>
      </c>
      <c r="B1235" s="1" t="n">
        <v>45231</v>
      </c>
      <c r="C1235" s="1" t="n">
        <v>45831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7.9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53839-2023</t>
        </is>
      </c>
      <c r="B1236" s="1" t="n">
        <v>45231</v>
      </c>
      <c r="C1236" s="1" t="n">
        <v>45831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54226-2023</t>
        </is>
      </c>
      <c r="B1237" s="1" t="n">
        <v>45232</v>
      </c>
      <c r="C1237" s="1" t="n">
        <v>45831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54234-2023</t>
        </is>
      </c>
      <c r="B1238" s="1" t="n">
        <v>45232</v>
      </c>
      <c r="C1238" s="1" t="n">
        <v>45831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Holmen skog AB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54242-2023</t>
        </is>
      </c>
      <c r="B1239" s="1" t="n">
        <v>45232</v>
      </c>
      <c r="C1239" s="1" t="n">
        <v>45831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Holmen skog AB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54227-2023</t>
        </is>
      </c>
      <c r="B1240" s="1" t="n">
        <v>45232</v>
      </c>
      <c r="C1240" s="1" t="n">
        <v>45831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12.9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54446-2023</t>
        </is>
      </c>
      <c r="B1241" s="1" t="n">
        <v>45233</v>
      </c>
      <c r="C1241" s="1" t="n">
        <v>45831</v>
      </c>
      <c r="D1241" t="inlineStr">
        <is>
          <t>VÄSTERBOTTENS LÄN</t>
        </is>
      </c>
      <c r="E1241" t="inlineStr">
        <is>
          <t>LYCKSELE</t>
        </is>
      </c>
      <c r="G1241" t="n">
        <v>21.4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54893-2023</t>
        </is>
      </c>
      <c r="B1242" s="1" t="n">
        <v>45236</v>
      </c>
      <c r="C1242" s="1" t="n">
        <v>45831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6.5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54891-2023</t>
        </is>
      </c>
      <c r="B1243" s="1" t="n">
        <v>45236</v>
      </c>
      <c r="C1243" s="1" t="n">
        <v>45831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55142-2023</t>
        </is>
      </c>
      <c r="B1244" s="1" t="n">
        <v>45237</v>
      </c>
      <c r="C1244" s="1" t="n">
        <v>45831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25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55080-2023</t>
        </is>
      </c>
      <c r="B1245" s="1" t="n">
        <v>45237</v>
      </c>
      <c r="C1245" s="1" t="n">
        <v>45831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55239-2023</t>
        </is>
      </c>
      <c r="B1246" s="1" t="n">
        <v>45237</v>
      </c>
      <c r="C1246" s="1" t="n">
        <v>45831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55371-2023</t>
        </is>
      </c>
      <c r="B1247" s="1" t="n">
        <v>45238</v>
      </c>
      <c r="C1247" s="1" t="n">
        <v>45831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55388-2023</t>
        </is>
      </c>
      <c r="B1248" s="1" t="n">
        <v>45238</v>
      </c>
      <c r="C1248" s="1" t="n">
        <v>45831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55432-2023</t>
        </is>
      </c>
      <c r="B1249" s="1" t="n">
        <v>45238</v>
      </c>
      <c r="C1249" s="1" t="n">
        <v>45831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56518-2023</t>
        </is>
      </c>
      <c r="B1250" s="1" t="n">
        <v>45238</v>
      </c>
      <c r="C1250" s="1" t="n">
        <v>45831</v>
      </c>
      <c r="D1250" t="inlineStr">
        <is>
          <t>VÄSTERBOTTENS LÄN</t>
        </is>
      </c>
      <c r="E1250" t="inlineStr">
        <is>
          <t>LYCKSELE</t>
        </is>
      </c>
      <c r="G1250" t="n">
        <v>21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56543-2023</t>
        </is>
      </c>
      <c r="B1251" s="1" t="n">
        <v>45238</v>
      </c>
      <c r="C1251" s="1" t="n">
        <v>45831</v>
      </c>
      <c r="D1251" t="inlineStr">
        <is>
          <t>VÄSTERBOTTENS LÄN</t>
        </is>
      </c>
      <c r="E1251" t="inlineStr">
        <is>
          <t>LYCKSELE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55377-2023</t>
        </is>
      </c>
      <c r="B1252" s="1" t="n">
        <v>45238</v>
      </c>
      <c r="C1252" s="1" t="n">
        <v>45831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56550-2023</t>
        </is>
      </c>
      <c r="B1253" s="1" t="n">
        <v>45238</v>
      </c>
      <c r="C1253" s="1" t="n">
        <v>45831</v>
      </c>
      <c r="D1253" t="inlineStr">
        <is>
          <t>VÄSTERBOTTENS LÄN</t>
        </is>
      </c>
      <c r="E1253" t="inlineStr">
        <is>
          <t>LYCKSELE</t>
        </is>
      </c>
      <c r="G1253" t="n">
        <v>7.5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55923-2023</t>
        </is>
      </c>
      <c r="B1254" s="1" t="n">
        <v>45240</v>
      </c>
      <c r="C1254" s="1" t="n">
        <v>45831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SCA</t>
        </is>
      </c>
      <c r="G1254" t="n">
        <v>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57224-2023</t>
        </is>
      </c>
      <c r="B1255" s="1" t="n">
        <v>45239</v>
      </c>
      <c r="C1255" s="1" t="n">
        <v>45831</v>
      </c>
      <c r="D1255" t="inlineStr">
        <is>
          <t>VÄSTERBOTTENS LÄN</t>
        </is>
      </c>
      <c r="E1255" t="inlineStr">
        <is>
          <t>LYCKSELE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56027-2023</t>
        </is>
      </c>
      <c r="B1256" s="1" t="n">
        <v>45240</v>
      </c>
      <c r="C1256" s="1" t="n">
        <v>45831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55938-2023</t>
        </is>
      </c>
      <c r="B1257" s="1" t="n">
        <v>45240</v>
      </c>
      <c r="C1257" s="1" t="n">
        <v>45831</v>
      </c>
      <c r="D1257" t="inlineStr">
        <is>
          <t>VÄSTERBOTTENS LÄN</t>
        </is>
      </c>
      <c r="E1257" t="inlineStr">
        <is>
          <t>LYCKSELE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56494-2023</t>
        </is>
      </c>
      <c r="B1258" s="1" t="n">
        <v>45243</v>
      </c>
      <c r="C1258" s="1" t="n">
        <v>45831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57881-2023</t>
        </is>
      </c>
      <c r="B1259" s="1" t="n">
        <v>45244</v>
      </c>
      <c r="C1259" s="1" t="n">
        <v>45831</v>
      </c>
      <c r="D1259" t="inlineStr">
        <is>
          <t>VÄSTERBOTTENS LÄN</t>
        </is>
      </c>
      <c r="E1259" t="inlineStr">
        <is>
          <t>LYCKSELE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57873-2023</t>
        </is>
      </c>
      <c r="B1260" s="1" t="n">
        <v>45244</v>
      </c>
      <c r="C1260" s="1" t="n">
        <v>45831</v>
      </c>
      <c r="D1260" t="inlineStr">
        <is>
          <t>VÄSTERBOTTENS LÄN</t>
        </is>
      </c>
      <c r="E1260" t="inlineStr">
        <is>
          <t>LYCKSELE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57214-2023</t>
        </is>
      </c>
      <c r="B1261" s="1" t="n">
        <v>45245</v>
      </c>
      <c r="C1261" s="1" t="n">
        <v>45831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58192-2023</t>
        </is>
      </c>
      <c r="B1262" s="1" t="n">
        <v>45245</v>
      </c>
      <c r="C1262" s="1" t="n">
        <v>45831</v>
      </c>
      <c r="D1262" t="inlineStr">
        <is>
          <t>VÄSTERBOTTENS LÄN</t>
        </is>
      </c>
      <c r="E1262" t="inlineStr">
        <is>
          <t>LYCKSELE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57443-2023</t>
        </is>
      </c>
      <c r="B1263" s="1" t="n">
        <v>45246</v>
      </c>
      <c r="C1263" s="1" t="n">
        <v>45831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10.1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57460-2023</t>
        </is>
      </c>
      <c r="B1264" s="1" t="n">
        <v>45246</v>
      </c>
      <c r="C1264" s="1" t="n">
        <v>45831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57441-2023</t>
        </is>
      </c>
      <c r="B1265" s="1" t="n">
        <v>45246</v>
      </c>
      <c r="C1265" s="1" t="n">
        <v>45831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18.6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57456-2023</t>
        </is>
      </c>
      <c r="B1266" s="1" t="n">
        <v>45246</v>
      </c>
      <c r="C1266" s="1" t="n">
        <v>45831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57767-2023</t>
        </is>
      </c>
      <c r="B1267" s="1" t="n">
        <v>45246</v>
      </c>
      <c r="C1267" s="1" t="n">
        <v>45831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Kommuner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57848-2023</t>
        </is>
      </c>
      <c r="B1268" s="1" t="n">
        <v>45247</v>
      </c>
      <c r="C1268" s="1" t="n">
        <v>45831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58040-2023</t>
        </is>
      </c>
      <c r="B1269" s="1" t="n">
        <v>45247</v>
      </c>
      <c r="C1269" s="1" t="n">
        <v>45831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Sveaskog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57845-2023</t>
        </is>
      </c>
      <c r="B1270" s="1" t="n">
        <v>45247</v>
      </c>
      <c r="C1270" s="1" t="n">
        <v>45831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58211-2023</t>
        </is>
      </c>
      <c r="B1271" s="1" t="n">
        <v>45250</v>
      </c>
      <c r="C1271" s="1" t="n">
        <v>45831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58460-2023</t>
        </is>
      </c>
      <c r="B1272" s="1" t="n">
        <v>45251</v>
      </c>
      <c r="C1272" s="1" t="n">
        <v>45831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58249-2023</t>
        </is>
      </c>
      <c r="B1273" s="1" t="n">
        <v>45250</v>
      </c>
      <c r="C1273" s="1" t="n">
        <v>45831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5.4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58553-2023</t>
        </is>
      </c>
      <c r="B1274" s="1" t="n">
        <v>45251</v>
      </c>
      <c r="C1274" s="1" t="n">
        <v>45831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58598-2023</t>
        </is>
      </c>
      <c r="B1275" s="1" t="n">
        <v>45251</v>
      </c>
      <c r="C1275" s="1" t="n">
        <v>45831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59153-2023</t>
        </is>
      </c>
      <c r="B1276" s="1" t="n">
        <v>45253</v>
      </c>
      <c r="C1276" s="1" t="n">
        <v>45831</v>
      </c>
      <c r="D1276" t="inlineStr">
        <is>
          <t>VÄSTERBOTTENS LÄN</t>
        </is>
      </c>
      <c r="E1276" t="inlineStr">
        <is>
          <t>LYCKSELE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59150-2023</t>
        </is>
      </c>
      <c r="B1277" s="1" t="n">
        <v>45253</v>
      </c>
      <c r="C1277" s="1" t="n">
        <v>45831</v>
      </c>
      <c r="D1277" t="inlineStr">
        <is>
          <t>VÄSTERBOTTENS LÄN</t>
        </is>
      </c>
      <c r="E1277" t="inlineStr">
        <is>
          <t>LYCKSELE</t>
        </is>
      </c>
      <c r="G1277" t="n">
        <v>6.5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59833-2023</t>
        </is>
      </c>
      <c r="B1278" s="1" t="n">
        <v>45253</v>
      </c>
      <c r="C1278" s="1" t="n">
        <v>45831</v>
      </c>
      <c r="D1278" t="inlineStr">
        <is>
          <t>VÄSTERBOTTENS LÄN</t>
        </is>
      </c>
      <c r="E1278" t="inlineStr">
        <is>
          <t>LYCKSELE</t>
        </is>
      </c>
      <c r="G1278" t="n">
        <v>6.9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60061-2023</t>
        </is>
      </c>
      <c r="B1279" s="1" t="n">
        <v>45258</v>
      </c>
      <c r="C1279" s="1" t="n">
        <v>45831</v>
      </c>
      <c r="D1279" t="inlineStr">
        <is>
          <t>VÄSTERBOTTENS LÄN</t>
        </is>
      </c>
      <c r="E1279" t="inlineStr">
        <is>
          <t>LYCKSELE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61094-2023</t>
        </is>
      </c>
      <c r="B1280" s="1" t="n">
        <v>45261</v>
      </c>
      <c r="C1280" s="1" t="n">
        <v>45831</v>
      </c>
      <c r="D1280" t="inlineStr">
        <is>
          <t>VÄSTERBOTTENS LÄN</t>
        </is>
      </c>
      <c r="E1280" t="inlineStr">
        <is>
          <t>LYCKSELE</t>
        </is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61496-2023</t>
        </is>
      </c>
      <c r="B1281" s="1" t="n">
        <v>45264</v>
      </c>
      <c r="C1281" s="1" t="n">
        <v>45831</v>
      </c>
      <c r="D1281" t="inlineStr">
        <is>
          <t>VÄSTERBOTTENS LÄN</t>
        </is>
      </c>
      <c r="E1281" t="inlineStr">
        <is>
          <t>LYCKSELE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61495-2023</t>
        </is>
      </c>
      <c r="B1282" s="1" t="n">
        <v>45264</v>
      </c>
      <c r="C1282" s="1" t="n">
        <v>45831</v>
      </c>
      <c r="D1282" t="inlineStr">
        <is>
          <t>VÄSTERBOTTENS LÄN</t>
        </is>
      </c>
      <c r="E1282" t="inlineStr">
        <is>
          <t>LYCKSELE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61693-2023</t>
        </is>
      </c>
      <c r="B1283" s="1" t="n">
        <v>45265</v>
      </c>
      <c r="C1283" s="1" t="n">
        <v>45831</v>
      </c>
      <c r="D1283" t="inlineStr">
        <is>
          <t>VÄSTERBOTTENS LÄN</t>
        </is>
      </c>
      <c r="E1283" t="inlineStr">
        <is>
          <t>LYCKSELE</t>
        </is>
      </c>
      <c r="G1283" t="n">
        <v>13.4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61688-2023</t>
        </is>
      </c>
      <c r="B1284" s="1" t="n">
        <v>45265</v>
      </c>
      <c r="C1284" s="1" t="n">
        <v>45831</v>
      </c>
      <c r="D1284" t="inlineStr">
        <is>
          <t>VÄSTERBOTTENS LÄN</t>
        </is>
      </c>
      <c r="E1284" t="inlineStr">
        <is>
          <t>LYCKSELE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61699-2023</t>
        </is>
      </c>
      <c r="B1285" s="1" t="n">
        <v>45265</v>
      </c>
      <c r="C1285" s="1" t="n">
        <v>45831</v>
      </c>
      <c r="D1285" t="inlineStr">
        <is>
          <t>VÄSTERBOTTENS LÄN</t>
        </is>
      </c>
      <c r="E1285" t="inlineStr">
        <is>
          <t>LYCKSELE</t>
        </is>
      </c>
      <c r="G1285" t="n">
        <v>28.4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61799-2023</t>
        </is>
      </c>
      <c r="B1286" s="1" t="n">
        <v>45266</v>
      </c>
      <c r="C1286" s="1" t="n">
        <v>45831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61798-2023</t>
        </is>
      </c>
      <c r="B1287" s="1" t="n">
        <v>45266</v>
      </c>
      <c r="C1287" s="1" t="n">
        <v>45831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13.2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62094-2023</t>
        </is>
      </c>
      <c r="B1288" s="1" t="n">
        <v>45266</v>
      </c>
      <c r="C1288" s="1" t="n">
        <v>45831</v>
      </c>
      <c r="D1288" t="inlineStr">
        <is>
          <t>VÄSTERBOTTENS LÄN</t>
        </is>
      </c>
      <c r="E1288" t="inlineStr">
        <is>
          <t>LYCKSELE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62508-2023</t>
        </is>
      </c>
      <c r="B1289" s="1" t="n">
        <v>45268</v>
      </c>
      <c r="C1289" s="1" t="n">
        <v>45831</v>
      </c>
      <c r="D1289" t="inlineStr">
        <is>
          <t>VÄSTERBOTTENS LÄN</t>
        </is>
      </c>
      <c r="E1289" t="inlineStr">
        <is>
          <t>LYCKSELE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62870-2023</t>
        </is>
      </c>
      <c r="B1290" s="1" t="n">
        <v>45271</v>
      </c>
      <c r="C1290" s="1" t="n">
        <v>45831</v>
      </c>
      <c r="D1290" t="inlineStr">
        <is>
          <t>VÄSTERBOTTENS LÄN</t>
        </is>
      </c>
      <c r="E1290" t="inlineStr">
        <is>
          <t>LYCKSELE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62882-2023</t>
        </is>
      </c>
      <c r="B1291" s="1" t="n">
        <v>45271</v>
      </c>
      <c r="C1291" s="1" t="n">
        <v>45831</v>
      </c>
      <c r="D1291" t="inlineStr">
        <is>
          <t>VÄSTERBOTTENS LÄN</t>
        </is>
      </c>
      <c r="E1291" t="inlineStr">
        <is>
          <t>LYCKSELE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62879-2023</t>
        </is>
      </c>
      <c r="B1292" s="1" t="n">
        <v>45271</v>
      </c>
      <c r="C1292" s="1" t="n">
        <v>45831</v>
      </c>
      <c r="D1292" t="inlineStr">
        <is>
          <t>VÄSTERBOTTENS LÄN</t>
        </is>
      </c>
      <c r="E1292" t="inlineStr">
        <is>
          <t>LYCKSELE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62874-2023</t>
        </is>
      </c>
      <c r="B1293" s="1" t="n">
        <v>45271</v>
      </c>
      <c r="C1293" s="1" t="n">
        <v>45831</v>
      </c>
      <c r="D1293" t="inlineStr">
        <is>
          <t>VÄSTERBOTTENS LÄN</t>
        </is>
      </c>
      <c r="E1293" t="inlineStr">
        <is>
          <t>LYCKSELE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62877-2023</t>
        </is>
      </c>
      <c r="B1294" s="1" t="n">
        <v>45271</v>
      </c>
      <c r="C1294" s="1" t="n">
        <v>45831</v>
      </c>
      <c r="D1294" t="inlineStr">
        <is>
          <t>VÄSTERBOTTENS LÄN</t>
        </is>
      </c>
      <c r="E1294" t="inlineStr">
        <is>
          <t>LYCKSELE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62984-2023</t>
        </is>
      </c>
      <c r="B1295" s="1" t="n">
        <v>45272</v>
      </c>
      <c r="C1295" s="1" t="n">
        <v>45831</v>
      </c>
      <c r="D1295" t="inlineStr">
        <is>
          <t>VÄSTERBOTTENS LÄN</t>
        </is>
      </c>
      <c r="E1295" t="inlineStr">
        <is>
          <t>LYCKSELE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63696-2023</t>
        </is>
      </c>
      <c r="B1296" s="1" t="n">
        <v>45275</v>
      </c>
      <c r="C1296" s="1" t="n">
        <v>45831</v>
      </c>
      <c r="D1296" t="inlineStr">
        <is>
          <t>VÄSTERBOTTENS LÄN</t>
        </is>
      </c>
      <c r="E1296" t="inlineStr">
        <is>
          <t>LYCKSELE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64215-2023</t>
        </is>
      </c>
      <c r="B1297" s="1" t="n">
        <v>45279</v>
      </c>
      <c r="C1297" s="1" t="n">
        <v>45831</v>
      </c>
      <c r="D1297" t="inlineStr">
        <is>
          <t>VÄSTERBOTTENS LÄN</t>
        </is>
      </c>
      <c r="E1297" t="inlineStr">
        <is>
          <t>LYCKSELE</t>
        </is>
      </c>
      <c r="G1297" t="n">
        <v>10.6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64334-2023</t>
        </is>
      </c>
      <c r="B1298" s="1" t="n">
        <v>45279</v>
      </c>
      <c r="C1298" s="1" t="n">
        <v>45831</v>
      </c>
      <c r="D1298" t="inlineStr">
        <is>
          <t>VÄSTERBOTTENS LÄN</t>
        </is>
      </c>
      <c r="E1298" t="inlineStr">
        <is>
          <t>LYCKSELE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64336-2023</t>
        </is>
      </c>
      <c r="B1299" s="1" t="n">
        <v>45279</v>
      </c>
      <c r="C1299" s="1" t="n">
        <v>45831</v>
      </c>
      <c r="D1299" t="inlineStr">
        <is>
          <t>VÄSTERBOTTENS LÄN</t>
        </is>
      </c>
      <c r="E1299" t="inlineStr">
        <is>
          <t>LYCKSELE</t>
        </is>
      </c>
      <c r="G1299" t="n">
        <v>6.4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64346-2023</t>
        </is>
      </c>
      <c r="B1300" s="1" t="n">
        <v>45279</v>
      </c>
      <c r="C1300" s="1" t="n">
        <v>45831</v>
      </c>
      <c r="D1300" t="inlineStr">
        <is>
          <t>VÄSTERBOTTENS LÄN</t>
        </is>
      </c>
      <c r="E1300" t="inlineStr">
        <is>
          <t>LYCKSELE</t>
        </is>
      </c>
      <c r="G1300" t="n">
        <v>5.8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64281-2023</t>
        </is>
      </c>
      <c r="B1301" s="1" t="n">
        <v>45279</v>
      </c>
      <c r="C1301" s="1" t="n">
        <v>45831</v>
      </c>
      <c r="D1301" t="inlineStr">
        <is>
          <t>VÄSTERBOTTENS LÄN</t>
        </is>
      </c>
      <c r="E1301" t="inlineStr">
        <is>
          <t>LYCKSELE</t>
        </is>
      </c>
      <c r="G1301" t="n">
        <v>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64391-2023</t>
        </is>
      </c>
      <c r="B1302" s="1" t="n">
        <v>45280</v>
      </c>
      <c r="C1302" s="1" t="n">
        <v>45831</v>
      </c>
      <c r="D1302" t="inlineStr">
        <is>
          <t>VÄSTERBOTTENS LÄN</t>
        </is>
      </c>
      <c r="E1302" t="inlineStr">
        <is>
          <t>LYCKSELE</t>
        </is>
      </c>
      <c r="G1302" t="n">
        <v>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64663-2023</t>
        </is>
      </c>
      <c r="B1303" s="1" t="n">
        <v>45281</v>
      </c>
      <c r="C1303" s="1" t="n">
        <v>45831</v>
      </c>
      <c r="D1303" t="inlineStr">
        <is>
          <t>VÄSTERBOTTENS LÄN</t>
        </is>
      </c>
      <c r="E1303" t="inlineStr">
        <is>
          <t>LYCKSELE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64656-2023</t>
        </is>
      </c>
      <c r="B1304" s="1" t="n">
        <v>45281</v>
      </c>
      <c r="C1304" s="1" t="n">
        <v>45831</v>
      </c>
      <c r="D1304" t="inlineStr">
        <is>
          <t>VÄSTERBOTTENS LÄN</t>
        </is>
      </c>
      <c r="E1304" t="inlineStr">
        <is>
          <t>LYCKSELE</t>
        </is>
      </c>
      <c r="G1304" t="n">
        <v>12.3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64668-2023</t>
        </is>
      </c>
      <c r="B1305" s="1" t="n">
        <v>45281</v>
      </c>
      <c r="C1305" s="1" t="n">
        <v>45831</v>
      </c>
      <c r="D1305" t="inlineStr">
        <is>
          <t>VÄSTERBOTTENS LÄN</t>
        </is>
      </c>
      <c r="E1305" t="inlineStr">
        <is>
          <t>LYCKSELE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175-2024</t>
        </is>
      </c>
      <c r="B1306" s="1" t="n">
        <v>45294</v>
      </c>
      <c r="C1306" s="1" t="n">
        <v>45831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Sveaskog</t>
        </is>
      </c>
      <c r="G1306" t="n">
        <v>4.6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169-2024</t>
        </is>
      </c>
      <c r="B1307" s="1" t="n">
        <v>45294</v>
      </c>
      <c r="C1307" s="1" t="n">
        <v>45831</v>
      </c>
      <c r="D1307" t="inlineStr">
        <is>
          <t>VÄSTERBOTTENS LÄN</t>
        </is>
      </c>
      <c r="E1307" t="inlineStr">
        <is>
          <t>LYCKSELE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122-2024</t>
        </is>
      </c>
      <c r="B1308" s="1" t="n">
        <v>45294</v>
      </c>
      <c r="C1308" s="1" t="n">
        <v>45831</v>
      </c>
      <c r="D1308" t="inlineStr">
        <is>
          <t>VÄSTERBOTTENS LÄN</t>
        </is>
      </c>
      <c r="E1308" t="inlineStr">
        <is>
          <t>LYCKSELE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134-2024</t>
        </is>
      </c>
      <c r="B1309" s="1" t="n">
        <v>45294</v>
      </c>
      <c r="C1309" s="1" t="n">
        <v>45831</v>
      </c>
      <c r="D1309" t="inlineStr">
        <is>
          <t>VÄSTERBOTTENS LÄN</t>
        </is>
      </c>
      <c r="E1309" t="inlineStr">
        <is>
          <t>LYCKSELE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171-2024</t>
        </is>
      </c>
      <c r="B1310" s="1" t="n">
        <v>45294</v>
      </c>
      <c r="C1310" s="1" t="n">
        <v>45831</v>
      </c>
      <c r="D1310" t="inlineStr">
        <is>
          <t>VÄSTERBOTTENS LÄN</t>
        </is>
      </c>
      <c r="E1310" t="inlineStr">
        <is>
          <t>LYCKSELE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395-2024</t>
        </is>
      </c>
      <c r="B1311" s="1" t="n">
        <v>45296</v>
      </c>
      <c r="C1311" s="1" t="n">
        <v>45831</v>
      </c>
      <c r="D1311" t="inlineStr">
        <is>
          <t>VÄSTERBOTTENS LÄN</t>
        </is>
      </c>
      <c r="E1311" t="inlineStr">
        <is>
          <t>LYCKSELE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1009-2024</t>
        </is>
      </c>
      <c r="B1312" s="1" t="n">
        <v>45301</v>
      </c>
      <c r="C1312" s="1" t="n">
        <v>45831</v>
      </c>
      <c r="D1312" t="inlineStr">
        <is>
          <t>VÄSTERBOTTENS LÄN</t>
        </is>
      </c>
      <c r="E1312" t="inlineStr">
        <is>
          <t>LYCKSELE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995-2024</t>
        </is>
      </c>
      <c r="B1313" s="1" t="n">
        <v>45301</v>
      </c>
      <c r="C1313" s="1" t="n">
        <v>45831</v>
      </c>
      <c r="D1313" t="inlineStr">
        <is>
          <t>VÄSTERBOTTENS LÄN</t>
        </is>
      </c>
      <c r="E1313" t="inlineStr">
        <is>
          <t>LYCKSELE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1812-2024</t>
        </is>
      </c>
      <c r="B1314" s="1" t="n">
        <v>45307</v>
      </c>
      <c r="C1314" s="1" t="n">
        <v>45831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14.9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1962-2024</t>
        </is>
      </c>
      <c r="B1315" s="1" t="n">
        <v>45308</v>
      </c>
      <c r="C1315" s="1" t="n">
        <v>45831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9.300000000000001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2552-2024</t>
        </is>
      </c>
      <c r="B1316" s="1" t="n">
        <v>45313</v>
      </c>
      <c r="C1316" s="1" t="n">
        <v>45831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Naturvårdsverket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3303-2024</t>
        </is>
      </c>
      <c r="B1317" s="1" t="n">
        <v>45316</v>
      </c>
      <c r="C1317" s="1" t="n">
        <v>45831</v>
      </c>
      <c r="D1317" t="inlineStr">
        <is>
          <t>VÄSTERBOTTENS LÄN</t>
        </is>
      </c>
      <c r="E1317" t="inlineStr">
        <is>
          <t>LYCKSELE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3546-2024</t>
        </is>
      </c>
      <c r="B1318" s="1" t="n">
        <v>45320</v>
      </c>
      <c r="C1318" s="1" t="n">
        <v>45831</v>
      </c>
      <c r="D1318" t="inlineStr">
        <is>
          <t>VÄSTERBOTTENS LÄN</t>
        </is>
      </c>
      <c r="E1318" t="inlineStr">
        <is>
          <t>LYCKSELE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3632-2024</t>
        </is>
      </c>
      <c r="B1319" s="1" t="n">
        <v>45320</v>
      </c>
      <c r="C1319" s="1" t="n">
        <v>45831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SCA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4390-2024</t>
        </is>
      </c>
      <c r="B1320" s="1" t="n">
        <v>45327</v>
      </c>
      <c r="C1320" s="1" t="n">
        <v>45831</v>
      </c>
      <c r="D1320" t="inlineStr">
        <is>
          <t>VÄSTERBOTTENS LÄN</t>
        </is>
      </c>
      <c r="E1320" t="inlineStr">
        <is>
          <t>LYCKSELE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4625-2024</t>
        </is>
      </c>
      <c r="B1321" s="1" t="n">
        <v>45328</v>
      </c>
      <c r="C1321" s="1" t="n">
        <v>45831</v>
      </c>
      <c r="D1321" t="inlineStr">
        <is>
          <t>VÄSTERBOTTENS LÄN</t>
        </is>
      </c>
      <c r="E1321" t="inlineStr">
        <is>
          <t>LYCKSELE</t>
        </is>
      </c>
      <c r="G1321" t="n">
        <v>5.4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5322-2024</t>
        </is>
      </c>
      <c r="B1322" s="1" t="n">
        <v>45331</v>
      </c>
      <c r="C1322" s="1" t="n">
        <v>45831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5323-2024</t>
        </is>
      </c>
      <c r="B1323" s="1" t="n">
        <v>45331</v>
      </c>
      <c r="C1323" s="1" t="n">
        <v>45831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Sveaskog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6278-2024</t>
        </is>
      </c>
      <c r="B1324" s="1" t="n">
        <v>45337</v>
      </c>
      <c r="C1324" s="1" t="n">
        <v>45831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SCA</t>
        </is>
      </c>
      <c r="G1324" t="n">
        <v>23.3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6277-2024</t>
        </is>
      </c>
      <c r="B1325" s="1" t="n">
        <v>45337</v>
      </c>
      <c r="C1325" s="1" t="n">
        <v>45831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40.3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6276-2024</t>
        </is>
      </c>
      <c r="B1326" s="1" t="n">
        <v>45337</v>
      </c>
      <c r="C1326" s="1" t="n">
        <v>45831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13.1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6997-2024</t>
        </is>
      </c>
      <c r="B1327" s="1" t="n">
        <v>45343</v>
      </c>
      <c r="C1327" s="1" t="n">
        <v>45831</v>
      </c>
      <c r="D1327" t="inlineStr">
        <is>
          <t>VÄSTERBOTTENS LÄN</t>
        </is>
      </c>
      <c r="E1327" t="inlineStr">
        <is>
          <t>LYCKSELE</t>
        </is>
      </c>
      <c r="G1327" t="n">
        <v>14.1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7506-2024</t>
        </is>
      </c>
      <c r="B1328" s="1" t="n">
        <v>45347</v>
      </c>
      <c r="C1328" s="1" t="n">
        <v>45831</v>
      </c>
      <c r="D1328" t="inlineStr">
        <is>
          <t>VÄSTERBOTTENS LÄN</t>
        </is>
      </c>
      <c r="E1328" t="inlineStr">
        <is>
          <t>LYCKSELE</t>
        </is>
      </c>
      <c r="G1328" t="n">
        <v>8.4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7510-2024</t>
        </is>
      </c>
      <c r="B1329" s="1" t="n">
        <v>45347</v>
      </c>
      <c r="C1329" s="1" t="n">
        <v>45831</v>
      </c>
      <c r="D1329" t="inlineStr">
        <is>
          <t>VÄSTERBOTTENS LÄN</t>
        </is>
      </c>
      <c r="E1329" t="inlineStr">
        <is>
          <t>LYCKSELE</t>
        </is>
      </c>
      <c r="G1329" t="n">
        <v>57.1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7509-2024</t>
        </is>
      </c>
      <c r="B1330" s="1" t="n">
        <v>45347</v>
      </c>
      <c r="C1330" s="1" t="n">
        <v>45831</v>
      </c>
      <c r="D1330" t="inlineStr">
        <is>
          <t>VÄSTERBOTTENS LÄN</t>
        </is>
      </c>
      <c r="E1330" t="inlineStr">
        <is>
          <t>LYCKSELE</t>
        </is>
      </c>
      <c r="G1330" t="n">
        <v>6.4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7666-2024</t>
        </is>
      </c>
      <c r="B1331" s="1" t="n">
        <v>45348</v>
      </c>
      <c r="C1331" s="1" t="n">
        <v>45831</v>
      </c>
      <c r="D1331" t="inlineStr">
        <is>
          <t>VÄSTERBOTTENS LÄN</t>
        </is>
      </c>
      <c r="E1331" t="inlineStr">
        <is>
          <t>LYCKSELE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8035-2024</t>
        </is>
      </c>
      <c r="B1332" s="1" t="n">
        <v>45350</v>
      </c>
      <c r="C1332" s="1" t="n">
        <v>45831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8360-2024</t>
        </is>
      </c>
      <c r="B1333" s="1" t="n">
        <v>45352</v>
      </c>
      <c r="C1333" s="1" t="n">
        <v>45831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Sveaskog</t>
        </is>
      </c>
      <c r="G1333" t="n">
        <v>31.5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8727-2024</t>
        </is>
      </c>
      <c r="B1334" s="1" t="n">
        <v>45356</v>
      </c>
      <c r="C1334" s="1" t="n">
        <v>45831</v>
      </c>
      <c r="D1334" t="inlineStr">
        <is>
          <t>VÄSTERBOTTENS LÄN</t>
        </is>
      </c>
      <c r="E1334" t="inlineStr">
        <is>
          <t>LYCKSELE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8964-2024</t>
        </is>
      </c>
      <c r="B1335" s="1" t="n">
        <v>45357</v>
      </c>
      <c r="C1335" s="1" t="n">
        <v>45831</v>
      </c>
      <c r="D1335" t="inlineStr">
        <is>
          <t>VÄSTERBOTTENS LÄN</t>
        </is>
      </c>
      <c r="E1335" t="inlineStr">
        <is>
          <t>LYCKSELE</t>
        </is>
      </c>
      <c r="G1335" t="n">
        <v>7.3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9289-2024</t>
        </is>
      </c>
      <c r="B1336" s="1" t="n">
        <v>45358</v>
      </c>
      <c r="C1336" s="1" t="n">
        <v>45831</v>
      </c>
      <c r="D1336" t="inlineStr">
        <is>
          <t>VÄSTERBOTTENS LÄN</t>
        </is>
      </c>
      <c r="E1336" t="inlineStr">
        <is>
          <t>LYCKSELE</t>
        </is>
      </c>
      <c r="G1336" t="n">
        <v>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9976-2024</t>
        </is>
      </c>
      <c r="B1337" s="1" t="n">
        <v>45363</v>
      </c>
      <c r="C1337" s="1" t="n">
        <v>45831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9986-2024</t>
        </is>
      </c>
      <c r="B1338" s="1" t="n">
        <v>45363</v>
      </c>
      <c r="C1338" s="1" t="n">
        <v>45831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Holmen skog AB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10208-2024</t>
        </is>
      </c>
      <c r="B1339" s="1" t="n">
        <v>45364</v>
      </c>
      <c r="C1339" s="1" t="n">
        <v>45831</v>
      </c>
      <c r="D1339" t="inlineStr">
        <is>
          <t>VÄSTERBOTTENS LÄN</t>
        </is>
      </c>
      <c r="E1339" t="inlineStr">
        <is>
          <t>LYCKSELE</t>
        </is>
      </c>
      <c r="G1339" t="n">
        <v>9.4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10259-2024</t>
        </is>
      </c>
      <c r="B1340" s="1" t="n">
        <v>45365</v>
      </c>
      <c r="C1340" s="1" t="n">
        <v>45831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7.9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10253-2024</t>
        </is>
      </c>
      <c r="B1341" s="1" t="n">
        <v>45365</v>
      </c>
      <c r="C1341" s="1" t="n">
        <v>45831</v>
      </c>
      <c r="D1341" t="inlineStr">
        <is>
          <t>VÄSTERBOTTENS LÄN</t>
        </is>
      </c>
      <c r="E1341" t="inlineStr">
        <is>
          <t>LYCKSELE</t>
        </is>
      </c>
      <c r="G1341" t="n">
        <v>6.4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10875-2024</t>
        </is>
      </c>
      <c r="B1342" s="1" t="n">
        <v>45370</v>
      </c>
      <c r="C1342" s="1" t="n">
        <v>45831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SCA</t>
        </is>
      </c>
      <c r="G1342" t="n">
        <v>7.8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11094-2024</t>
        </is>
      </c>
      <c r="B1343" s="1" t="n">
        <v>45370</v>
      </c>
      <c r="C1343" s="1" t="n">
        <v>45831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SCA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11095-2024</t>
        </is>
      </c>
      <c r="B1344" s="1" t="n">
        <v>45370</v>
      </c>
      <c r="C1344" s="1" t="n">
        <v>45831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SCA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11131-2024</t>
        </is>
      </c>
      <c r="B1345" s="1" t="n">
        <v>45371</v>
      </c>
      <c r="C1345" s="1" t="n">
        <v>45831</v>
      </c>
      <c r="D1345" t="inlineStr">
        <is>
          <t>VÄSTERBOTTENS LÄN</t>
        </is>
      </c>
      <c r="E1345" t="inlineStr">
        <is>
          <t>LYCKSELE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11199-2024</t>
        </is>
      </c>
      <c r="B1346" s="1" t="n">
        <v>45371</v>
      </c>
      <c r="C1346" s="1" t="n">
        <v>45831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Holmen skog AB</t>
        </is>
      </c>
      <c r="G1346" t="n">
        <v>55.8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11240-2024</t>
        </is>
      </c>
      <c r="B1347" s="1" t="n">
        <v>45371</v>
      </c>
      <c r="C1347" s="1" t="n">
        <v>45831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11328-2024</t>
        </is>
      </c>
      <c r="B1348" s="1" t="n">
        <v>45371</v>
      </c>
      <c r="C1348" s="1" t="n">
        <v>45831</v>
      </c>
      <c r="D1348" t="inlineStr">
        <is>
          <t>VÄSTERBOTTENS LÄN</t>
        </is>
      </c>
      <c r="E1348" t="inlineStr">
        <is>
          <t>LYCKSELE</t>
        </is>
      </c>
      <c r="G1348" t="n">
        <v>10.9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11437-2024</t>
        </is>
      </c>
      <c r="B1349" s="1" t="n">
        <v>45372</v>
      </c>
      <c r="C1349" s="1" t="n">
        <v>45831</v>
      </c>
      <c r="D1349" t="inlineStr">
        <is>
          <t>VÄSTERBOTTENS LÄN</t>
        </is>
      </c>
      <c r="E1349" t="inlineStr">
        <is>
          <t>LYCKSELE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11765-2024</t>
        </is>
      </c>
      <c r="B1350" s="1" t="n">
        <v>45373</v>
      </c>
      <c r="C1350" s="1" t="n">
        <v>45831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11626-2024</t>
        </is>
      </c>
      <c r="B1351" s="1" t="n">
        <v>45373</v>
      </c>
      <c r="C1351" s="1" t="n">
        <v>45831</v>
      </c>
      <c r="D1351" t="inlineStr">
        <is>
          <t>VÄSTERBOTTENS LÄN</t>
        </is>
      </c>
      <c r="E1351" t="inlineStr">
        <is>
          <t>LYCKSELE</t>
        </is>
      </c>
      <c r="G1351" t="n">
        <v>0.1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11650-2024</t>
        </is>
      </c>
      <c r="B1352" s="1" t="n">
        <v>45373</v>
      </c>
      <c r="C1352" s="1" t="n">
        <v>45831</v>
      </c>
      <c r="D1352" t="inlineStr">
        <is>
          <t>VÄSTERBOTTENS LÄN</t>
        </is>
      </c>
      <c r="E1352" t="inlineStr">
        <is>
          <t>LYCKSELE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11640-2024</t>
        </is>
      </c>
      <c r="B1353" s="1" t="n">
        <v>45373</v>
      </c>
      <c r="C1353" s="1" t="n">
        <v>45831</v>
      </c>
      <c r="D1353" t="inlineStr">
        <is>
          <t>VÄSTERBOTTENS LÄN</t>
        </is>
      </c>
      <c r="E1353" t="inlineStr">
        <is>
          <t>LYCKSELE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12206-2024</t>
        </is>
      </c>
      <c r="B1354" s="1" t="n">
        <v>45377</v>
      </c>
      <c r="C1354" s="1" t="n">
        <v>45831</v>
      </c>
      <c r="D1354" t="inlineStr">
        <is>
          <t>VÄSTERBOTTENS LÄN</t>
        </is>
      </c>
      <c r="E1354" t="inlineStr">
        <is>
          <t>LYCKSELE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12198-2024</t>
        </is>
      </c>
      <c r="B1355" s="1" t="n">
        <v>45377</v>
      </c>
      <c r="C1355" s="1" t="n">
        <v>45831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SCA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12336-2024</t>
        </is>
      </c>
      <c r="B1356" s="1" t="n">
        <v>45378</v>
      </c>
      <c r="C1356" s="1" t="n">
        <v>45831</v>
      </c>
      <c r="D1356" t="inlineStr">
        <is>
          <t>VÄSTERBOTTENS LÄN</t>
        </is>
      </c>
      <c r="E1356" t="inlineStr">
        <is>
          <t>LYCKSELE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12340-2024</t>
        </is>
      </c>
      <c r="B1357" s="1" t="n">
        <v>45378</v>
      </c>
      <c r="C1357" s="1" t="n">
        <v>45831</v>
      </c>
      <c r="D1357" t="inlineStr">
        <is>
          <t>VÄSTERBOTTENS LÄN</t>
        </is>
      </c>
      <c r="E1357" t="inlineStr">
        <is>
          <t>LYCKSELE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12333-2024</t>
        </is>
      </c>
      <c r="B1358" s="1" t="n">
        <v>45378</v>
      </c>
      <c r="C1358" s="1" t="n">
        <v>45831</v>
      </c>
      <c r="D1358" t="inlineStr">
        <is>
          <t>VÄSTERBOTTENS LÄN</t>
        </is>
      </c>
      <c r="E1358" t="inlineStr">
        <is>
          <t>LYCKSELE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12337-2024</t>
        </is>
      </c>
      <c r="B1359" s="1" t="n">
        <v>45378</v>
      </c>
      <c r="C1359" s="1" t="n">
        <v>45831</v>
      </c>
      <c r="D1359" t="inlineStr">
        <is>
          <t>VÄSTERBOTTENS LÄN</t>
        </is>
      </c>
      <c r="E1359" t="inlineStr">
        <is>
          <t>LYCKSELE</t>
        </is>
      </c>
      <c r="G1359" t="n">
        <v>8.1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12335-2024</t>
        </is>
      </c>
      <c r="B1360" s="1" t="n">
        <v>45378</v>
      </c>
      <c r="C1360" s="1" t="n">
        <v>45831</v>
      </c>
      <c r="D1360" t="inlineStr">
        <is>
          <t>VÄSTERBOTTENS LÄN</t>
        </is>
      </c>
      <c r="E1360" t="inlineStr">
        <is>
          <t>LYCKSELE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12575-2024</t>
        </is>
      </c>
      <c r="B1361" s="1" t="n">
        <v>45379</v>
      </c>
      <c r="C1361" s="1" t="n">
        <v>45831</v>
      </c>
      <c r="D1361" t="inlineStr">
        <is>
          <t>VÄSTERBOTTENS LÄN</t>
        </is>
      </c>
      <c r="E1361" t="inlineStr">
        <is>
          <t>LYCKSELE</t>
        </is>
      </c>
      <c r="G1361" t="n">
        <v>4.3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14070-2024</t>
        </is>
      </c>
      <c r="B1362" s="1" t="n">
        <v>45392</v>
      </c>
      <c r="C1362" s="1" t="n">
        <v>45831</v>
      </c>
      <c r="D1362" t="inlineStr">
        <is>
          <t>VÄSTERBOTTENS LÄN</t>
        </is>
      </c>
      <c r="E1362" t="inlineStr">
        <is>
          <t>LYCKSELE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14195-2024</t>
        </is>
      </c>
      <c r="B1363" s="1" t="n">
        <v>45393</v>
      </c>
      <c r="C1363" s="1" t="n">
        <v>45831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22.9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14299-2024</t>
        </is>
      </c>
      <c r="B1364" s="1" t="n">
        <v>45393</v>
      </c>
      <c r="C1364" s="1" t="n">
        <v>45831</v>
      </c>
      <c r="D1364" t="inlineStr">
        <is>
          <t>VÄSTERBOTTENS LÄN</t>
        </is>
      </c>
      <c r="E1364" t="inlineStr">
        <is>
          <t>LYCKSELE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14303-2024</t>
        </is>
      </c>
      <c r="B1365" s="1" t="n">
        <v>45393</v>
      </c>
      <c r="C1365" s="1" t="n">
        <v>45831</v>
      </c>
      <c r="D1365" t="inlineStr">
        <is>
          <t>VÄSTERBOTTENS LÄN</t>
        </is>
      </c>
      <c r="E1365" t="inlineStr">
        <is>
          <t>LYCKSELE</t>
        </is>
      </c>
      <c r="G1365" t="n">
        <v>9.5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14343-2024</t>
        </is>
      </c>
      <c r="B1366" s="1" t="n">
        <v>45393</v>
      </c>
      <c r="C1366" s="1" t="n">
        <v>45831</v>
      </c>
      <c r="D1366" t="inlineStr">
        <is>
          <t>VÄSTERBOTTENS LÄN</t>
        </is>
      </c>
      <c r="E1366" t="inlineStr">
        <is>
          <t>LYCKSELE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15209-2024</t>
        </is>
      </c>
      <c r="B1367" s="1" t="n">
        <v>45400</v>
      </c>
      <c r="C1367" s="1" t="n">
        <v>45831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Sveaskog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15418-2024</t>
        </is>
      </c>
      <c r="B1368" s="1" t="n">
        <v>45401</v>
      </c>
      <c r="C1368" s="1" t="n">
        <v>45831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12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15432-2024</t>
        </is>
      </c>
      <c r="B1369" s="1" t="n">
        <v>45401</v>
      </c>
      <c r="C1369" s="1" t="n">
        <v>45831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10.3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16192-2024</t>
        </is>
      </c>
      <c r="B1370" s="1" t="n">
        <v>45406</v>
      </c>
      <c r="C1370" s="1" t="n">
        <v>45831</v>
      </c>
      <c r="D1370" t="inlineStr">
        <is>
          <t>VÄSTERBOTTENS LÄN</t>
        </is>
      </c>
      <c r="E1370" t="inlineStr">
        <is>
          <t>LYCKSELE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16219-2024</t>
        </is>
      </c>
      <c r="B1371" s="1" t="n">
        <v>45407</v>
      </c>
      <c r="C1371" s="1" t="n">
        <v>45831</v>
      </c>
      <c r="D1371" t="inlineStr">
        <is>
          <t>VÄSTERBOTTENS LÄN</t>
        </is>
      </c>
      <c r="E1371" t="inlineStr">
        <is>
          <t>LYCKSELE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16563-2024</t>
        </is>
      </c>
      <c r="B1372" s="1" t="n">
        <v>45408</v>
      </c>
      <c r="C1372" s="1" t="n">
        <v>45831</v>
      </c>
      <c r="D1372" t="inlineStr">
        <is>
          <t>VÄSTERBOTTENS LÄN</t>
        </is>
      </c>
      <c r="E1372" t="inlineStr">
        <is>
          <t>LYCKSELE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16570-2024</t>
        </is>
      </c>
      <c r="B1373" s="1" t="n">
        <v>45408</v>
      </c>
      <c r="C1373" s="1" t="n">
        <v>45831</v>
      </c>
      <c r="D1373" t="inlineStr">
        <is>
          <t>VÄSTERBOTTENS LÄN</t>
        </is>
      </c>
      <c r="E1373" t="inlineStr">
        <is>
          <t>LYCKSELE</t>
        </is>
      </c>
      <c r="G1373" t="n">
        <v>8.800000000000001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16728-2024</t>
        </is>
      </c>
      <c r="B1374" s="1" t="n">
        <v>45410</v>
      </c>
      <c r="C1374" s="1" t="n">
        <v>45831</v>
      </c>
      <c r="D1374" t="inlineStr">
        <is>
          <t>VÄSTERBOTTENS LÄN</t>
        </is>
      </c>
      <c r="E1374" t="inlineStr">
        <is>
          <t>LYCKSELE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16887-2024</t>
        </is>
      </c>
      <c r="B1375" s="1" t="n">
        <v>45411</v>
      </c>
      <c r="C1375" s="1" t="n">
        <v>45831</v>
      </c>
      <c r="D1375" t="inlineStr">
        <is>
          <t>VÄSTERBOTTENS LÄN</t>
        </is>
      </c>
      <c r="E1375" t="inlineStr">
        <is>
          <t>LYCKSELE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17370-2024</t>
        </is>
      </c>
      <c r="B1376" s="1" t="n">
        <v>45414</v>
      </c>
      <c r="C1376" s="1" t="n">
        <v>45831</v>
      </c>
      <c r="D1376" t="inlineStr">
        <is>
          <t>VÄSTERBOTTENS LÄN</t>
        </is>
      </c>
      <c r="E1376" t="inlineStr">
        <is>
          <t>LYCKSELE</t>
        </is>
      </c>
      <c r="G1376" t="n">
        <v>12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17372-2024</t>
        </is>
      </c>
      <c r="B1377" s="1" t="n">
        <v>45414</v>
      </c>
      <c r="C1377" s="1" t="n">
        <v>45831</v>
      </c>
      <c r="D1377" t="inlineStr">
        <is>
          <t>VÄSTERBOTTENS LÄN</t>
        </is>
      </c>
      <c r="E1377" t="inlineStr">
        <is>
          <t>LYCKSELE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17460-2024</t>
        </is>
      </c>
      <c r="B1378" s="1" t="n">
        <v>45415</v>
      </c>
      <c r="C1378" s="1" t="n">
        <v>45831</v>
      </c>
      <c r="D1378" t="inlineStr">
        <is>
          <t>VÄSTERBOTTENS LÄN</t>
        </is>
      </c>
      <c r="E1378" t="inlineStr">
        <is>
          <t>LYCKSELE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18004-2024</t>
        </is>
      </c>
      <c r="B1379" s="1" t="n">
        <v>45419</v>
      </c>
      <c r="C1379" s="1" t="n">
        <v>45831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18200-2024</t>
        </is>
      </c>
      <c r="B1380" s="1" t="n">
        <v>45420</v>
      </c>
      <c r="C1380" s="1" t="n">
        <v>45831</v>
      </c>
      <c r="D1380" t="inlineStr">
        <is>
          <t>VÄSTERBOTTENS LÄN</t>
        </is>
      </c>
      <c r="E1380" t="inlineStr">
        <is>
          <t>LYCKSELE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18284-2024</t>
        </is>
      </c>
      <c r="B1381" s="1" t="n">
        <v>45422</v>
      </c>
      <c r="C1381" s="1" t="n">
        <v>45831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Holmen skog AB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18283-2024</t>
        </is>
      </c>
      <c r="B1382" s="1" t="n">
        <v>45422</v>
      </c>
      <c r="C1382" s="1" t="n">
        <v>45831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Holmen skog AB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18642-2024</t>
        </is>
      </c>
      <c r="B1383" s="1" t="n">
        <v>45426</v>
      </c>
      <c r="C1383" s="1" t="n">
        <v>45831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6.7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18946-2024</t>
        </is>
      </c>
      <c r="B1384" s="1" t="n">
        <v>45427</v>
      </c>
      <c r="C1384" s="1" t="n">
        <v>45831</v>
      </c>
      <c r="D1384" t="inlineStr">
        <is>
          <t>VÄSTERBOTTENS LÄN</t>
        </is>
      </c>
      <c r="E1384" t="inlineStr">
        <is>
          <t>LYCKSELE</t>
        </is>
      </c>
      <c r="G1384" t="n">
        <v>6.2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19270-2024</t>
        </is>
      </c>
      <c r="B1385" s="1" t="n">
        <v>45428</v>
      </c>
      <c r="C1385" s="1" t="n">
        <v>45831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Holmen skog AB</t>
        </is>
      </c>
      <c r="G1385" t="n">
        <v>11.1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19390-2024</t>
        </is>
      </c>
      <c r="B1386" s="1" t="n">
        <v>45429</v>
      </c>
      <c r="C1386" s="1" t="n">
        <v>45831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19765-2024</t>
        </is>
      </c>
      <c r="B1387" s="1" t="n">
        <v>45432</v>
      </c>
      <c r="C1387" s="1" t="n">
        <v>45831</v>
      </c>
      <c r="D1387" t="inlineStr">
        <is>
          <t>VÄSTERBOTTENS LÄN</t>
        </is>
      </c>
      <c r="E1387" t="inlineStr">
        <is>
          <t>LYCKSELE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20178-2024</t>
        </is>
      </c>
      <c r="B1388" s="1" t="n">
        <v>45434</v>
      </c>
      <c r="C1388" s="1" t="n">
        <v>45831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20518-2024</t>
        </is>
      </c>
      <c r="B1389" s="1" t="n">
        <v>45436</v>
      </c>
      <c r="C1389" s="1" t="n">
        <v>45831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20664-2024</t>
        </is>
      </c>
      <c r="B1390" s="1" t="n">
        <v>45436</v>
      </c>
      <c r="C1390" s="1" t="n">
        <v>45831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Sveaskog</t>
        </is>
      </c>
      <c r="G1390" t="n">
        <v>6.6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21242-2024</t>
        </is>
      </c>
      <c r="B1391" s="1" t="n">
        <v>45440</v>
      </c>
      <c r="C1391" s="1" t="n">
        <v>45831</v>
      </c>
      <c r="D1391" t="inlineStr">
        <is>
          <t>VÄSTERBOTTENS LÄN</t>
        </is>
      </c>
      <c r="E1391" t="inlineStr">
        <is>
          <t>LYCKSELE</t>
        </is>
      </c>
      <c r="G1391" t="n">
        <v>34.6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21264-2024</t>
        </is>
      </c>
      <c r="B1392" s="1" t="n">
        <v>45440</v>
      </c>
      <c r="C1392" s="1" t="n">
        <v>45831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21119-2024</t>
        </is>
      </c>
      <c r="B1393" s="1" t="n">
        <v>45440</v>
      </c>
      <c r="C1393" s="1" t="n">
        <v>45831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21666-2024</t>
        </is>
      </c>
      <c r="B1394" s="1" t="n">
        <v>45441</v>
      </c>
      <c r="C1394" s="1" t="n">
        <v>45831</v>
      </c>
      <c r="D1394" t="inlineStr">
        <is>
          <t>VÄSTERBOTTENS LÄN</t>
        </is>
      </c>
      <c r="E1394" t="inlineStr">
        <is>
          <t>LYCKSELE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21668-2024</t>
        </is>
      </c>
      <c r="B1395" s="1" t="n">
        <v>45441</v>
      </c>
      <c r="C1395" s="1" t="n">
        <v>45831</v>
      </c>
      <c r="D1395" t="inlineStr">
        <is>
          <t>VÄSTERBOTTENS LÄN</t>
        </is>
      </c>
      <c r="E1395" t="inlineStr">
        <is>
          <t>LYCKSELE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21803-2024</t>
        </is>
      </c>
      <c r="B1396" s="1" t="n">
        <v>45442</v>
      </c>
      <c r="C1396" s="1" t="n">
        <v>45831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21819-2024</t>
        </is>
      </c>
      <c r="B1397" s="1" t="n">
        <v>45442</v>
      </c>
      <c r="C1397" s="1" t="n">
        <v>45831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22050-2024</t>
        </is>
      </c>
      <c r="B1398" s="1" t="n">
        <v>45443</v>
      </c>
      <c r="C1398" s="1" t="n">
        <v>45831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22000-2024</t>
        </is>
      </c>
      <c r="B1399" s="1" t="n">
        <v>45443</v>
      </c>
      <c r="C1399" s="1" t="n">
        <v>45831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Holmen skog AB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21995-2024</t>
        </is>
      </c>
      <c r="B1400" s="1" t="n">
        <v>45443</v>
      </c>
      <c r="C1400" s="1" t="n">
        <v>45831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Holmen skog AB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22053-2024</t>
        </is>
      </c>
      <c r="B1401" s="1" t="n">
        <v>45443</v>
      </c>
      <c r="C1401" s="1" t="n">
        <v>45831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22142-2024</t>
        </is>
      </c>
      <c r="B1402" s="1" t="n">
        <v>45445</v>
      </c>
      <c r="C1402" s="1" t="n">
        <v>45831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22144-2024</t>
        </is>
      </c>
      <c r="B1403" s="1" t="n">
        <v>45445</v>
      </c>
      <c r="C1403" s="1" t="n">
        <v>45831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22352-2024</t>
        </is>
      </c>
      <c r="B1404" s="1" t="n">
        <v>45446</v>
      </c>
      <c r="C1404" s="1" t="n">
        <v>45831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29.4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22711-2024</t>
        </is>
      </c>
      <c r="B1405" s="1" t="n">
        <v>45448</v>
      </c>
      <c r="C1405" s="1" t="n">
        <v>45831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23315-2024</t>
        </is>
      </c>
      <c r="B1406" s="1" t="n">
        <v>45453</v>
      </c>
      <c r="C1406" s="1" t="n">
        <v>45831</v>
      </c>
      <c r="D1406" t="inlineStr">
        <is>
          <t>VÄSTERBOTTENS LÄN</t>
        </is>
      </c>
      <c r="E1406" t="inlineStr">
        <is>
          <t>LYCKSELE</t>
        </is>
      </c>
      <c r="G1406" t="n">
        <v>7.3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23344-2024</t>
        </is>
      </c>
      <c r="B1407" s="1" t="n">
        <v>45453</v>
      </c>
      <c r="C1407" s="1" t="n">
        <v>45831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Sveaskog</t>
        </is>
      </c>
      <c r="G1407" t="n">
        <v>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23352-2024</t>
        </is>
      </c>
      <c r="B1408" s="1" t="n">
        <v>45453</v>
      </c>
      <c r="C1408" s="1" t="n">
        <v>45831</v>
      </c>
      <c r="D1408" t="inlineStr">
        <is>
          <t>VÄSTERBOTTENS LÄN</t>
        </is>
      </c>
      <c r="E1408" t="inlineStr">
        <is>
          <t>LYCKSELE</t>
        </is>
      </c>
      <c r="G1408" t="n">
        <v>13.5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23326-2024</t>
        </is>
      </c>
      <c r="B1409" s="1" t="n">
        <v>45453</v>
      </c>
      <c r="C1409" s="1" t="n">
        <v>45831</v>
      </c>
      <c r="D1409" t="inlineStr">
        <is>
          <t>VÄSTERBOTTENS LÄN</t>
        </is>
      </c>
      <c r="E1409" t="inlineStr">
        <is>
          <t>LYCKSELE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23456-2024</t>
        </is>
      </c>
      <c r="B1410" s="1" t="n">
        <v>45453</v>
      </c>
      <c r="C1410" s="1" t="n">
        <v>45831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14.7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23428-2024</t>
        </is>
      </c>
      <c r="B1411" s="1" t="n">
        <v>45453</v>
      </c>
      <c r="C1411" s="1" t="n">
        <v>45831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13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23594-2024</t>
        </is>
      </c>
      <c r="B1412" s="1" t="n">
        <v>45454</v>
      </c>
      <c r="C1412" s="1" t="n">
        <v>45831</v>
      </c>
      <c r="D1412" t="inlineStr">
        <is>
          <t>VÄSTERBOTTENS LÄN</t>
        </is>
      </c>
      <c r="E1412" t="inlineStr">
        <is>
          <t>LYCKSELE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23596-2024</t>
        </is>
      </c>
      <c r="B1413" s="1" t="n">
        <v>45454</v>
      </c>
      <c r="C1413" s="1" t="n">
        <v>45831</v>
      </c>
      <c r="D1413" t="inlineStr">
        <is>
          <t>VÄSTERBOTTENS LÄN</t>
        </is>
      </c>
      <c r="E1413" t="inlineStr">
        <is>
          <t>LYCKSELE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23568-2024</t>
        </is>
      </c>
      <c r="B1414" s="1" t="n">
        <v>45454</v>
      </c>
      <c r="C1414" s="1" t="n">
        <v>45831</v>
      </c>
      <c r="D1414" t="inlineStr">
        <is>
          <t>VÄSTERBOTTENS LÄN</t>
        </is>
      </c>
      <c r="E1414" t="inlineStr">
        <is>
          <t>LYCKSELE</t>
        </is>
      </c>
      <c r="G1414" t="n">
        <v>11.6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23962-2024</t>
        </is>
      </c>
      <c r="B1415" s="1" t="n">
        <v>45456</v>
      </c>
      <c r="C1415" s="1" t="n">
        <v>45831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SCA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23971-2024</t>
        </is>
      </c>
      <c r="B1416" s="1" t="n">
        <v>45455</v>
      </c>
      <c r="C1416" s="1" t="n">
        <v>45831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SCA</t>
        </is>
      </c>
      <c r="G1416" t="n">
        <v>10.4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23967-2024</t>
        </is>
      </c>
      <c r="B1417" s="1" t="n">
        <v>45456</v>
      </c>
      <c r="C1417" s="1" t="n">
        <v>45831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SCA</t>
        </is>
      </c>
      <c r="G1417" t="n">
        <v>6.8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23973-2024</t>
        </is>
      </c>
      <c r="B1418" s="1" t="n">
        <v>45456</v>
      </c>
      <c r="C1418" s="1" t="n">
        <v>45831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23972-2024</t>
        </is>
      </c>
      <c r="B1419" s="1" t="n">
        <v>45456</v>
      </c>
      <c r="C1419" s="1" t="n">
        <v>45831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SCA</t>
        </is>
      </c>
      <c r="G1419" t="n">
        <v>12.3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24156-2024</t>
        </is>
      </c>
      <c r="B1420" s="1" t="n">
        <v>45456</v>
      </c>
      <c r="C1420" s="1" t="n">
        <v>45831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24278-2024</t>
        </is>
      </c>
      <c r="B1421" s="1" t="n">
        <v>45457</v>
      </c>
      <c r="C1421" s="1" t="n">
        <v>45831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24338-2024</t>
        </is>
      </c>
      <c r="B1422" s="1" t="n">
        <v>45457</v>
      </c>
      <c r="C1422" s="1" t="n">
        <v>45831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Holmen skog AB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24346-2024</t>
        </is>
      </c>
      <c r="B1423" s="1" t="n">
        <v>45457</v>
      </c>
      <c r="C1423" s="1" t="n">
        <v>45831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24257-2024</t>
        </is>
      </c>
      <c r="B1424" s="1" t="n">
        <v>45457</v>
      </c>
      <c r="C1424" s="1" t="n">
        <v>45831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24361-2024</t>
        </is>
      </c>
      <c r="B1425" s="1" t="n">
        <v>45457</v>
      </c>
      <c r="C1425" s="1" t="n">
        <v>45831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7.3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24377-2024</t>
        </is>
      </c>
      <c r="B1426" s="1" t="n">
        <v>45457</v>
      </c>
      <c r="C1426" s="1" t="n">
        <v>45831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Holmen skog AB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24340-2024</t>
        </is>
      </c>
      <c r="B1427" s="1" t="n">
        <v>45457</v>
      </c>
      <c r="C1427" s="1" t="n">
        <v>45831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12.3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24812-2024</t>
        </is>
      </c>
      <c r="B1428" s="1" t="n">
        <v>45461</v>
      </c>
      <c r="C1428" s="1" t="n">
        <v>45831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SCA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24663-2024</t>
        </is>
      </c>
      <c r="B1429" s="1" t="n">
        <v>45460</v>
      </c>
      <c r="C1429" s="1" t="n">
        <v>45831</v>
      </c>
      <c r="D1429" t="inlineStr">
        <is>
          <t>VÄSTERBOTTENS LÄN</t>
        </is>
      </c>
      <c r="E1429" t="inlineStr">
        <is>
          <t>LYCKSELE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24660-2024</t>
        </is>
      </c>
      <c r="B1430" s="1" t="n">
        <v>45460</v>
      </c>
      <c r="C1430" s="1" t="n">
        <v>45831</v>
      </c>
      <c r="D1430" t="inlineStr">
        <is>
          <t>VÄSTERBOTTENS LÄN</t>
        </is>
      </c>
      <c r="E1430" t="inlineStr">
        <is>
          <t>LYCKSELE</t>
        </is>
      </c>
      <c r="G1430" t="n">
        <v>8.199999999999999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24810-2024</t>
        </is>
      </c>
      <c r="B1431" s="1" t="n">
        <v>45461</v>
      </c>
      <c r="C1431" s="1" t="n">
        <v>45831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SCA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24813-2024</t>
        </is>
      </c>
      <c r="B1432" s="1" t="n">
        <v>45461</v>
      </c>
      <c r="C1432" s="1" t="n">
        <v>45831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SCA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24645-2024</t>
        </is>
      </c>
      <c r="B1433" s="1" t="n">
        <v>45460</v>
      </c>
      <c r="C1433" s="1" t="n">
        <v>45831</v>
      </c>
      <c r="D1433" t="inlineStr">
        <is>
          <t>VÄSTERBOTTENS LÄN</t>
        </is>
      </c>
      <c r="E1433" t="inlineStr">
        <is>
          <t>LYCKSELE</t>
        </is>
      </c>
      <c r="G1433" t="n">
        <v>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24678-2024</t>
        </is>
      </c>
      <c r="B1434" s="1" t="n">
        <v>45460</v>
      </c>
      <c r="C1434" s="1" t="n">
        <v>45831</v>
      </c>
      <c r="D1434" t="inlineStr">
        <is>
          <t>VÄSTERBOTTENS LÄN</t>
        </is>
      </c>
      <c r="E1434" t="inlineStr">
        <is>
          <t>LYCKSELE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24906-2024</t>
        </is>
      </c>
      <c r="B1435" s="1" t="n">
        <v>45461</v>
      </c>
      <c r="C1435" s="1" t="n">
        <v>45831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Holmen skog AB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25020-2024</t>
        </is>
      </c>
      <c r="B1436" s="1" t="n">
        <v>45462</v>
      </c>
      <c r="C1436" s="1" t="n">
        <v>45831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SCA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25360-2024</t>
        </is>
      </c>
      <c r="B1437" s="1" t="n">
        <v>45462</v>
      </c>
      <c r="C1437" s="1" t="n">
        <v>45831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SCA</t>
        </is>
      </c>
      <c r="G1437" t="n">
        <v>8.1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25375-2024</t>
        </is>
      </c>
      <c r="B1438" s="1" t="n">
        <v>45463</v>
      </c>
      <c r="C1438" s="1" t="n">
        <v>45831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SCA</t>
        </is>
      </c>
      <c r="G1438" t="n">
        <v>10.9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25358-2024</t>
        </is>
      </c>
      <c r="B1439" s="1" t="n">
        <v>45462</v>
      </c>
      <c r="C1439" s="1" t="n">
        <v>45831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25327-2024</t>
        </is>
      </c>
      <c r="B1440" s="1" t="n">
        <v>45462</v>
      </c>
      <c r="C1440" s="1" t="n">
        <v>45831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25170-2024</t>
        </is>
      </c>
      <c r="B1441" s="1" t="n">
        <v>45462</v>
      </c>
      <c r="C1441" s="1" t="n">
        <v>45831</v>
      </c>
      <c r="D1441" t="inlineStr">
        <is>
          <t>VÄSTERBOTTENS LÄN</t>
        </is>
      </c>
      <c r="E1441" t="inlineStr">
        <is>
          <t>LYCKSELE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25081-2024</t>
        </is>
      </c>
      <c r="B1442" s="1" t="n">
        <v>45462</v>
      </c>
      <c r="C1442" s="1" t="n">
        <v>45831</v>
      </c>
      <c r="D1442" t="inlineStr">
        <is>
          <t>VÄSTERBOTTENS LÄN</t>
        </is>
      </c>
      <c r="E1442" t="inlineStr">
        <is>
          <t>LYCKSELE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25686-2024</t>
        </is>
      </c>
      <c r="B1443" s="1" t="n">
        <v>45464</v>
      </c>
      <c r="C1443" s="1" t="n">
        <v>45831</v>
      </c>
      <c r="D1443" t="inlineStr">
        <is>
          <t>VÄSTERBOTTENS LÄN</t>
        </is>
      </c>
      <c r="E1443" t="inlineStr">
        <is>
          <t>LYCKSELE</t>
        </is>
      </c>
      <c r="G1443" t="n">
        <v>4.3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26076-2024</t>
        </is>
      </c>
      <c r="B1444" s="1" t="n">
        <v>45467</v>
      </c>
      <c r="C1444" s="1" t="n">
        <v>45831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12.8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26068-2024</t>
        </is>
      </c>
      <c r="B1445" s="1" t="n">
        <v>45467</v>
      </c>
      <c r="C1445" s="1" t="n">
        <v>45831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16.9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26071-2024</t>
        </is>
      </c>
      <c r="B1446" s="1" t="n">
        <v>45468</v>
      </c>
      <c r="C1446" s="1" t="n">
        <v>45831</v>
      </c>
      <c r="D1446" t="inlineStr">
        <is>
          <t>VÄSTERBOTTENS LÄN</t>
        </is>
      </c>
      <c r="E1446" t="inlineStr">
        <is>
          <t>LYCKSELE</t>
        </is>
      </c>
      <c r="G1446" t="n">
        <v>8.1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26318-2024</t>
        </is>
      </c>
      <c r="B1447" s="1" t="n">
        <v>45469</v>
      </c>
      <c r="C1447" s="1" t="n">
        <v>45831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SCA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26205-2024</t>
        </is>
      </c>
      <c r="B1448" s="1" t="n">
        <v>45468</v>
      </c>
      <c r="C1448" s="1" t="n">
        <v>45831</v>
      </c>
      <c r="D1448" t="inlineStr">
        <is>
          <t>VÄSTERBOTTENS LÄN</t>
        </is>
      </c>
      <c r="E1448" t="inlineStr">
        <is>
          <t>LYCKSELE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26498-2024</t>
        </is>
      </c>
      <c r="B1449" s="1" t="n">
        <v>45469</v>
      </c>
      <c r="C1449" s="1" t="n">
        <v>45831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26562-2024</t>
        </is>
      </c>
      <c r="B1450" s="1" t="n">
        <v>45469</v>
      </c>
      <c r="C1450" s="1" t="n">
        <v>45831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26460-2024</t>
        </is>
      </c>
      <c r="B1451" s="1" t="n">
        <v>45469</v>
      </c>
      <c r="C1451" s="1" t="n">
        <v>45831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26469-2024</t>
        </is>
      </c>
      <c r="B1452" s="1" t="n">
        <v>45469</v>
      </c>
      <c r="C1452" s="1" t="n">
        <v>45831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26483-2024</t>
        </is>
      </c>
      <c r="B1453" s="1" t="n">
        <v>45469</v>
      </c>
      <c r="C1453" s="1" t="n">
        <v>45831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0.2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26492-2024</t>
        </is>
      </c>
      <c r="B1454" s="1" t="n">
        <v>45469</v>
      </c>
      <c r="C1454" s="1" t="n">
        <v>45831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26659-2024</t>
        </is>
      </c>
      <c r="B1455" s="1" t="n">
        <v>45470</v>
      </c>
      <c r="C1455" s="1" t="n">
        <v>45831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SCA</t>
        </is>
      </c>
      <c r="G1455" t="n">
        <v>12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26531-2024</t>
        </is>
      </c>
      <c r="B1456" s="1" t="n">
        <v>45469</v>
      </c>
      <c r="C1456" s="1" t="n">
        <v>45831</v>
      </c>
      <c r="D1456" t="inlineStr">
        <is>
          <t>VÄSTERBOTTENS LÄN</t>
        </is>
      </c>
      <c r="E1456" t="inlineStr">
        <is>
          <t>LYCKSELE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26908-2024</t>
        </is>
      </c>
      <c r="B1457" s="1" t="n">
        <v>45470</v>
      </c>
      <c r="C1457" s="1" t="n">
        <v>45831</v>
      </c>
      <c r="D1457" t="inlineStr">
        <is>
          <t>VÄSTERBOTTENS LÄN</t>
        </is>
      </c>
      <c r="E1457" t="inlineStr">
        <is>
          <t>LYCKSELE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26904-2024</t>
        </is>
      </c>
      <c r="B1458" s="1" t="n">
        <v>45470</v>
      </c>
      <c r="C1458" s="1" t="n">
        <v>45831</v>
      </c>
      <c r="D1458" t="inlineStr">
        <is>
          <t>VÄSTERBOTTENS LÄN</t>
        </is>
      </c>
      <c r="E1458" t="inlineStr">
        <is>
          <t>LYCKSELE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26717-2024</t>
        </is>
      </c>
      <c r="B1459" s="1" t="n">
        <v>45470</v>
      </c>
      <c r="C1459" s="1" t="n">
        <v>45831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26682-2024</t>
        </is>
      </c>
      <c r="B1460" s="1" t="n">
        <v>45470</v>
      </c>
      <c r="C1460" s="1" t="n">
        <v>45831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6.1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26750-2024</t>
        </is>
      </c>
      <c r="B1461" s="1" t="n">
        <v>45470</v>
      </c>
      <c r="C1461" s="1" t="n">
        <v>45831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26685-2024</t>
        </is>
      </c>
      <c r="B1462" s="1" t="n">
        <v>45470</v>
      </c>
      <c r="C1462" s="1" t="n">
        <v>45831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26679-2024</t>
        </is>
      </c>
      <c r="B1463" s="1" t="n">
        <v>45470</v>
      </c>
      <c r="C1463" s="1" t="n">
        <v>45831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27150-2024</t>
        </is>
      </c>
      <c r="B1464" s="1" t="n">
        <v>45471</v>
      </c>
      <c r="C1464" s="1" t="n">
        <v>45831</v>
      </c>
      <c r="D1464" t="inlineStr">
        <is>
          <t>VÄSTERBOTTENS LÄN</t>
        </is>
      </c>
      <c r="E1464" t="inlineStr">
        <is>
          <t>LYCKSELE</t>
        </is>
      </c>
      <c r="G1464" t="n">
        <v>9.300000000000001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27171-2024</t>
        </is>
      </c>
      <c r="B1465" s="1" t="n">
        <v>45471</v>
      </c>
      <c r="C1465" s="1" t="n">
        <v>45831</v>
      </c>
      <c r="D1465" t="inlineStr">
        <is>
          <t>VÄSTERBOTTENS LÄN</t>
        </is>
      </c>
      <c r="E1465" t="inlineStr">
        <is>
          <t>LYCKSELE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27192-2024</t>
        </is>
      </c>
      <c r="B1466" s="1" t="n">
        <v>45471</v>
      </c>
      <c r="C1466" s="1" t="n">
        <v>45831</v>
      </c>
      <c r="D1466" t="inlineStr">
        <is>
          <t>VÄSTERBOTTENS LÄN</t>
        </is>
      </c>
      <c r="E1466" t="inlineStr">
        <is>
          <t>LYCKSELE</t>
        </is>
      </c>
      <c r="G1466" t="n">
        <v>12.4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27000-2024</t>
        </is>
      </c>
      <c r="B1467" s="1" t="n">
        <v>45471</v>
      </c>
      <c r="C1467" s="1" t="n">
        <v>45831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27056-2024</t>
        </is>
      </c>
      <c r="B1468" s="1" t="n">
        <v>45471</v>
      </c>
      <c r="C1468" s="1" t="n">
        <v>45831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27315-2024</t>
        </is>
      </c>
      <c r="B1469" s="1" t="n">
        <v>45472</v>
      </c>
      <c r="C1469" s="1" t="n">
        <v>45831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SCA</t>
        </is>
      </c>
      <c r="G1469" t="n">
        <v>19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27495-2024</t>
        </is>
      </c>
      <c r="B1470" s="1" t="n">
        <v>45474</v>
      </c>
      <c r="C1470" s="1" t="n">
        <v>45831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27574-2024</t>
        </is>
      </c>
      <c r="B1471" s="1" t="n">
        <v>45474</v>
      </c>
      <c r="C1471" s="1" t="n">
        <v>45831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Holmen skog AB</t>
        </is>
      </c>
      <c r="G1471" t="n">
        <v>13.3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27672-2024</t>
        </is>
      </c>
      <c r="B1472" s="1" t="n">
        <v>45475</v>
      </c>
      <c r="C1472" s="1" t="n">
        <v>45831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Naturvårdsverket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27670-2024</t>
        </is>
      </c>
      <c r="B1473" s="1" t="n">
        <v>45475</v>
      </c>
      <c r="C1473" s="1" t="n">
        <v>45831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Naturvårdsverket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27671-2024</t>
        </is>
      </c>
      <c r="B1474" s="1" t="n">
        <v>45475</v>
      </c>
      <c r="C1474" s="1" t="n">
        <v>45831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Naturvårdsverket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27553-2024</t>
        </is>
      </c>
      <c r="B1475" s="1" t="n">
        <v>45474</v>
      </c>
      <c r="C1475" s="1" t="n">
        <v>45831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27931-2024</t>
        </is>
      </c>
      <c r="B1476" s="1" t="n">
        <v>45476</v>
      </c>
      <c r="C1476" s="1" t="n">
        <v>45831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Naturvårdsverket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27818-2024</t>
        </is>
      </c>
      <c r="B1477" s="1" t="n">
        <v>45475</v>
      </c>
      <c r="C1477" s="1" t="n">
        <v>45831</v>
      </c>
      <c r="D1477" t="inlineStr">
        <is>
          <t>VÄSTERBOTTENS LÄN</t>
        </is>
      </c>
      <c r="E1477" t="inlineStr">
        <is>
          <t>LYCKSELE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27929-2024</t>
        </is>
      </c>
      <c r="B1478" s="1" t="n">
        <v>45476</v>
      </c>
      <c r="C1478" s="1" t="n">
        <v>45831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Naturvårdsverket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27932-2024</t>
        </is>
      </c>
      <c r="B1479" s="1" t="n">
        <v>45476</v>
      </c>
      <c r="C1479" s="1" t="n">
        <v>45831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Naturvårdsverket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28341-2024</t>
        </is>
      </c>
      <c r="B1480" s="1" t="n">
        <v>45477</v>
      </c>
      <c r="C1480" s="1" t="n">
        <v>45831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Holmen skog AB</t>
        </is>
      </c>
      <c r="G1480" t="n">
        <v>12.4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28376-2024</t>
        </is>
      </c>
      <c r="B1481" s="1" t="n">
        <v>45477</v>
      </c>
      <c r="C1481" s="1" t="n">
        <v>45831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11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28679-2024</t>
        </is>
      </c>
      <c r="B1482" s="1" t="n">
        <v>45478</v>
      </c>
      <c r="C1482" s="1" t="n">
        <v>45831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28833-2024</t>
        </is>
      </c>
      <c r="B1483" s="1" t="n">
        <v>45478</v>
      </c>
      <c r="C1483" s="1" t="n">
        <v>45831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28672-2024</t>
        </is>
      </c>
      <c r="B1484" s="1" t="n">
        <v>45478</v>
      </c>
      <c r="C1484" s="1" t="n">
        <v>45831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7.1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28893-2024</t>
        </is>
      </c>
      <c r="B1485" s="1" t="n">
        <v>45480</v>
      </c>
      <c r="C1485" s="1" t="n">
        <v>45831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SCA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28892-2024</t>
        </is>
      </c>
      <c r="B1486" s="1" t="n">
        <v>45480</v>
      </c>
      <c r="C1486" s="1" t="n">
        <v>45831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28890-2024</t>
        </is>
      </c>
      <c r="B1487" s="1" t="n">
        <v>45480</v>
      </c>
      <c r="C1487" s="1" t="n">
        <v>45831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29277-2024</t>
        </is>
      </c>
      <c r="B1488" s="1" t="n">
        <v>45483</v>
      </c>
      <c r="C1488" s="1" t="n">
        <v>45831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SCA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29278-2024</t>
        </is>
      </c>
      <c r="B1489" s="1" t="n">
        <v>45483</v>
      </c>
      <c r="C1489" s="1" t="n">
        <v>45831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SCA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29449-2024</t>
        </is>
      </c>
      <c r="B1490" s="1" t="n">
        <v>45484</v>
      </c>
      <c r="C1490" s="1" t="n">
        <v>45831</v>
      </c>
      <c r="D1490" t="inlineStr">
        <is>
          <t>VÄSTERBOTTENS LÄN</t>
        </is>
      </c>
      <c r="E1490" t="inlineStr">
        <is>
          <t>LYCKSELE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29545-2024</t>
        </is>
      </c>
      <c r="B1491" s="1" t="n">
        <v>45484</v>
      </c>
      <c r="C1491" s="1" t="n">
        <v>45831</v>
      </c>
      <c r="D1491" t="inlineStr">
        <is>
          <t>VÄSTERBOTTENS LÄN</t>
        </is>
      </c>
      <c r="E1491" t="inlineStr">
        <is>
          <t>LYCKSELE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29560-2024</t>
        </is>
      </c>
      <c r="B1492" s="1" t="n">
        <v>45484</v>
      </c>
      <c r="C1492" s="1" t="n">
        <v>45831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29531-2024</t>
        </is>
      </c>
      <c r="B1493" s="1" t="n">
        <v>45484</v>
      </c>
      <c r="C1493" s="1" t="n">
        <v>45831</v>
      </c>
      <c r="D1493" t="inlineStr">
        <is>
          <t>VÄSTERBOTTENS LÄN</t>
        </is>
      </c>
      <c r="E1493" t="inlineStr">
        <is>
          <t>LYCKSELE</t>
        </is>
      </c>
      <c r="G1493" t="n">
        <v>8.800000000000001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29515-2024</t>
        </is>
      </c>
      <c r="B1494" s="1" t="n">
        <v>45484</v>
      </c>
      <c r="C1494" s="1" t="n">
        <v>45831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23.4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29937-2024</t>
        </is>
      </c>
      <c r="B1495" s="1" t="n">
        <v>45488</v>
      </c>
      <c r="C1495" s="1" t="n">
        <v>45831</v>
      </c>
      <c r="D1495" t="inlineStr">
        <is>
          <t>VÄSTERBOTTENS LÄN</t>
        </is>
      </c>
      <c r="E1495" t="inlineStr">
        <is>
          <t>LYCKSELE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30306-2024</t>
        </is>
      </c>
      <c r="B1496" s="1" t="n">
        <v>45490</v>
      </c>
      <c r="C1496" s="1" t="n">
        <v>45831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30428-2024</t>
        </is>
      </c>
      <c r="B1497" s="1" t="n">
        <v>45491</v>
      </c>
      <c r="C1497" s="1" t="n">
        <v>45831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18.5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30424-2024</t>
        </is>
      </c>
      <c r="B1498" s="1" t="n">
        <v>45491</v>
      </c>
      <c r="C1498" s="1" t="n">
        <v>45831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30420-2024</t>
        </is>
      </c>
      <c r="B1499" s="1" t="n">
        <v>45491</v>
      </c>
      <c r="C1499" s="1" t="n">
        <v>45831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31.2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30425-2024</t>
        </is>
      </c>
      <c r="B1500" s="1" t="n">
        <v>45491</v>
      </c>
      <c r="C1500" s="1" t="n">
        <v>45831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30421-2024</t>
        </is>
      </c>
      <c r="B1501" s="1" t="n">
        <v>45491</v>
      </c>
      <c r="C1501" s="1" t="n">
        <v>45831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30423-2024</t>
        </is>
      </c>
      <c r="B1502" s="1" t="n">
        <v>45491</v>
      </c>
      <c r="C1502" s="1" t="n">
        <v>45831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8.199999999999999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30422-2024</t>
        </is>
      </c>
      <c r="B1503" s="1" t="n">
        <v>45491</v>
      </c>
      <c r="C1503" s="1" t="n">
        <v>45831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33.9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30426-2024</t>
        </is>
      </c>
      <c r="B1504" s="1" t="n">
        <v>45491</v>
      </c>
      <c r="C1504" s="1" t="n">
        <v>45831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30430-2024</t>
        </is>
      </c>
      <c r="B1505" s="1" t="n">
        <v>45491</v>
      </c>
      <c r="C1505" s="1" t="n">
        <v>45831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7.9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30579-2024</t>
        </is>
      </c>
      <c r="B1506" s="1" t="n">
        <v>45493</v>
      </c>
      <c r="C1506" s="1" t="n">
        <v>45831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SCA</t>
        </is>
      </c>
      <c r="G1506" t="n">
        <v>4.8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30581-2024</t>
        </is>
      </c>
      <c r="B1507" s="1" t="n">
        <v>45493</v>
      </c>
      <c r="C1507" s="1" t="n">
        <v>45831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SCA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30636-2024</t>
        </is>
      </c>
      <c r="B1508" s="1" t="n">
        <v>45495</v>
      </c>
      <c r="C1508" s="1" t="n">
        <v>45831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6.2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30708-2024</t>
        </is>
      </c>
      <c r="B1509" s="1" t="n">
        <v>45496</v>
      </c>
      <c r="C1509" s="1" t="n">
        <v>45831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9.199999999999999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30725-2024</t>
        </is>
      </c>
      <c r="B1510" s="1" t="n">
        <v>45496</v>
      </c>
      <c r="C1510" s="1" t="n">
        <v>45831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30871-2024</t>
        </is>
      </c>
      <c r="B1511" s="1" t="n">
        <v>45497</v>
      </c>
      <c r="C1511" s="1" t="n">
        <v>45831</v>
      </c>
      <c r="D1511" t="inlineStr">
        <is>
          <t>VÄSTERBOTTENS LÄN</t>
        </is>
      </c>
      <c r="E1511" t="inlineStr">
        <is>
          <t>LYCKSELE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30899-2024</t>
        </is>
      </c>
      <c r="B1512" s="1" t="n">
        <v>45498</v>
      </c>
      <c r="C1512" s="1" t="n">
        <v>45831</v>
      </c>
      <c r="D1512" t="inlineStr">
        <is>
          <t>VÄSTERBOTTENS LÄN</t>
        </is>
      </c>
      <c r="E1512" t="inlineStr">
        <is>
          <t>LYCKSELE</t>
        </is>
      </c>
      <c r="G1512" t="n">
        <v>14.4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31106-2024</t>
        </is>
      </c>
      <c r="B1513" s="1" t="n">
        <v>45502</v>
      </c>
      <c r="C1513" s="1" t="n">
        <v>45831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Holmen skog AB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31251-2024</t>
        </is>
      </c>
      <c r="B1514" s="1" t="n">
        <v>45503</v>
      </c>
      <c r="C1514" s="1" t="n">
        <v>45831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31454-2024</t>
        </is>
      </c>
      <c r="B1515" s="1" t="n">
        <v>45506</v>
      </c>
      <c r="C1515" s="1" t="n">
        <v>45831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SCA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31453-2024</t>
        </is>
      </c>
      <c r="B1516" s="1" t="n">
        <v>45506</v>
      </c>
      <c r="C1516" s="1" t="n">
        <v>45831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SCA</t>
        </is>
      </c>
      <c r="G1516" t="n">
        <v>8.300000000000001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31648-2024</t>
        </is>
      </c>
      <c r="B1517" s="1" t="n">
        <v>45506</v>
      </c>
      <c r="C1517" s="1" t="n">
        <v>45831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31848-2024</t>
        </is>
      </c>
      <c r="B1518" s="1" t="n">
        <v>45509</v>
      </c>
      <c r="C1518" s="1" t="n">
        <v>45831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Holmen skog AB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31818-2024</t>
        </is>
      </c>
      <c r="B1519" s="1" t="n">
        <v>45509</v>
      </c>
      <c r="C1519" s="1" t="n">
        <v>45831</v>
      </c>
      <c r="D1519" t="inlineStr">
        <is>
          <t>VÄSTERBOTTENS LÄN</t>
        </is>
      </c>
      <c r="E1519" t="inlineStr">
        <is>
          <t>LYCKSELE</t>
        </is>
      </c>
      <c r="G1519" t="n">
        <v>7.7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32034-2024</t>
        </is>
      </c>
      <c r="B1520" s="1" t="n">
        <v>45510</v>
      </c>
      <c r="C1520" s="1" t="n">
        <v>45831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Holmen skog AB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32408-2024</t>
        </is>
      </c>
      <c r="B1521" s="1" t="n">
        <v>45512</v>
      </c>
      <c r="C1521" s="1" t="n">
        <v>45831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Naturvårdsverket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32474-2024</t>
        </is>
      </c>
      <c r="B1522" s="1" t="n">
        <v>45513</v>
      </c>
      <c r="C1522" s="1" t="n">
        <v>45831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Holmen skog AB</t>
        </is>
      </c>
      <c r="G1522" t="n">
        <v>3.8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32472-2024</t>
        </is>
      </c>
      <c r="B1523" s="1" t="n">
        <v>45513</v>
      </c>
      <c r="C1523" s="1" t="n">
        <v>45831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Holmen skog AB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32475-2024</t>
        </is>
      </c>
      <c r="B1524" s="1" t="n">
        <v>45513</v>
      </c>
      <c r="C1524" s="1" t="n">
        <v>45831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Holmen skog AB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32495-2024</t>
        </is>
      </c>
      <c r="B1525" s="1" t="n">
        <v>45513</v>
      </c>
      <c r="C1525" s="1" t="n">
        <v>45831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32614-2024</t>
        </is>
      </c>
      <c r="B1526" s="1" t="n">
        <v>45513</v>
      </c>
      <c r="C1526" s="1" t="n">
        <v>45831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32585-2024</t>
        </is>
      </c>
      <c r="B1527" s="1" t="n">
        <v>45513</v>
      </c>
      <c r="C1527" s="1" t="n">
        <v>45831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Naturvårdsverket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32690-2024</t>
        </is>
      </c>
      <c r="B1528" s="1" t="n">
        <v>45515</v>
      </c>
      <c r="C1528" s="1" t="n">
        <v>45831</v>
      </c>
      <c r="D1528" t="inlineStr">
        <is>
          <t>VÄSTERBOTTENS LÄN</t>
        </is>
      </c>
      <c r="E1528" t="inlineStr">
        <is>
          <t>LYCKSELE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32854-2024</t>
        </is>
      </c>
      <c r="B1529" s="1" t="n">
        <v>45516</v>
      </c>
      <c r="C1529" s="1" t="n">
        <v>45831</v>
      </c>
      <c r="D1529" t="inlineStr">
        <is>
          <t>VÄSTERBOTTENS LÄN</t>
        </is>
      </c>
      <c r="E1529" t="inlineStr">
        <is>
          <t>LYCKSELE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32856-2024</t>
        </is>
      </c>
      <c r="B1530" s="1" t="n">
        <v>45516</v>
      </c>
      <c r="C1530" s="1" t="n">
        <v>45831</v>
      </c>
      <c r="D1530" t="inlineStr">
        <is>
          <t>VÄSTERBOTTENS LÄN</t>
        </is>
      </c>
      <c r="E1530" t="inlineStr">
        <is>
          <t>LYCKSELE</t>
        </is>
      </c>
      <c r="G1530" t="n">
        <v>7.4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32800-2024</t>
        </is>
      </c>
      <c r="B1531" s="1" t="n">
        <v>45516</v>
      </c>
      <c r="C1531" s="1" t="n">
        <v>45831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32923-2024</t>
        </is>
      </c>
      <c r="B1532" s="1" t="n">
        <v>45517</v>
      </c>
      <c r="C1532" s="1" t="n">
        <v>45831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SCA</t>
        </is>
      </c>
      <c r="G1532" t="n">
        <v>12.4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33570-2024</t>
        </is>
      </c>
      <c r="B1533" s="1" t="n">
        <v>45520</v>
      </c>
      <c r="C1533" s="1" t="n">
        <v>45831</v>
      </c>
      <c r="D1533" t="inlineStr">
        <is>
          <t>VÄSTERBOTTENS LÄN</t>
        </is>
      </c>
      <c r="E1533" t="inlineStr">
        <is>
          <t>LYCKSELE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33619-2024</t>
        </is>
      </c>
      <c r="B1534" s="1" t="n">
        <v>45520</v>
      </c>
      <c r="C1534" s="1" t="n">
        <v>45831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5.2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33595-2024</t>
        </is>
      </c>
      <c r="B1535" s="1" t="n">
        <v>45520</v>
      </c>
      <c r="C1535" s="1" t="n">
        <v>45831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33699-2024</t>
        </is>
      </c>
      <c r="B1536" s="1" t="n">
        <v>45520</v>
      </c>
      <c r="C1536" s="1" t="n">
        <v>45831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16.3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33711-2024</t>
        </is>
      </c>
      <c r="B1537" s="1" t="n">
        <v>45520</v>
      </c>
      <c r="C1537" s="1" t="n">
        <v>45831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8.699999999999999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33715-2024</t>
        </is>
      </c>
      <c r="B1538" s="1" t="n">
        <v>45520</v>
      </c>
      <c r="C1538" s="1" t="n">
        <v>45831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10.1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33640-2024</t>
        </is>
      </c>
      <c r="B1539" s="1" t="n">
        <v>45520</v>
      </c>
      <c r="C1539" s="1" t="n">
        <v>45831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33689-2024</t>
        </is>
      </c>
      <c r="B1540" s="1" t="n">
        <v>45520</v>
      </c>
      <c r="C1540" s="1" t="n">
        <v>45831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33693-2024</t>
        </is>
      </c>
      <c r="B1541" s="1" t="n">
        <v>45520</v>
      </c>
      <c r="C1541" s="1" t="n">
        <v>45831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33701-2024</t>
        </is>
      </c>
      <c r="B1542" s="1" t="n">
        <v>45520</v>
      </c>
      <c r="C1542" s="1" t="n">
        <v>45831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12.1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33705-2024</t>
        </is>
      </c>
      <c r="B1543" s="1" t="n">
        <v>45520</v>
      </c>
      <c r="C1543" s="1" t="n">
        <v>45831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7.5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33713-2024</t>
        </is>
      </c>
      <c r="B1544" s="1" t="n">
        <v>45520</v>
      </c>
      <c r="C1544" s="1" t="n">
        <v>45831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7.5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33717-2024</t>
        </is>
      </c>
      <c r="B1545" s="1" t="n">
        <v>45520</v>
      </c>
      <c r="C1545" s="1" t="n">
        <v>45831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33650-2024</t>
        </is>
      </c>
      <c r="B1546" s="1" t="n">
        <v>45520</v>
      </c>
      <c r="C1546" s="1" t="n">
        <v>45831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33704-2024</t>
        </is>
      </c>
      <c r="B1547" s="1" t="n">
        <v>45520</v>
      </c>
      <c r="C1547" s="1" t="n">
        <v>45831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33708-2024</t>
        </is>
      </c>
      <c r="B1548" s="1" t="n">
        <v>45520</v>
      </c>
      <c r="C1548" s="1" t="n">
        <v>45831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33716-2024</t>
        </is>
      </c>
      <c r="B1549" s="1" t="n">
        <v>45520</v>
      </c>
      <c r="C1549" s="1" t="n">
        <v>45831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33732-2024</t>
        </is>
      </c>
      <c r="B1550" s="1" t="n">
        <v>45520</v>
      </c>
      <c r="C1550" s="1" t="n">
        <v>45831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33706-2024</t>
        </is>
      </c>
      <c r="B1551" s="1" t="n">
        <v>45520</v>
      </c>
      <c r="C1551" s="1" t="n">
        <v>45831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6.5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33714-2024</t>
        </is>
      </c>
      <c r="B1552" s="1" t="n">
        <v>45520</v>
      </c>
      <c r="C1552" s="1" t="n">
        <v>45831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10.4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33819-2024</t>
        </is>
      </c>
      <c r="B1553" s="1" t="n">
        <v>45520</v>
      </c>
      <c r="C1553" s="1" t="n">
        <v>45831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33994-2024</t>
        </is>
      </c>
      <c r="B1554" s="1" t="n">
        <v>45523</v>
      </c>
      <c r="C1554" s="1" t="n">
        <v>45831</v>
      </c>
      <c r="D1554" t="inlineStr">
        <is>
          <t>VÄSTERBOTTENS LÄN</t>
        </is>
      </c>
      <c r="E1554" t="inlineStr">
        <is>
          <t>LYCKSELE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34273-2024</t>
        </is>
      </c>
      <c r="B1555" s="1" t="n">
        <v>45524</v>
      </c>
      <c r="C1555" s="1" t="n">
        <v>45831</v>
      </c>
      <c r="D1555" t="inlineStr">
        <is>
          <t>VÄSTERBOTTENS LÄN</t>
        </is>
      </c>
      <c r="E1555" t="inlineStr">
        <is>
          <t>LYCKSELE</t>
        </is>
      </c>
      <c r="G1555" t="n">
        <v>6.7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34532-2024</t>
        </is>
      </c>
      <c r="B1556" s="1" t="n">
        <v>45525</v>
      </c>
      <c r="C1556" s="1" t="n">
        <v>45831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Holmen skog AB</t>
        </is>
      </c>
      <c r="G1556" t="n">
        <v>5.4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34635-2024</t>
        </is>
      </c>
      <c r="B1557" s="1" t="n">
        <v>45526</v>
      </c>
      <c r="C1557" s="1" t="n">
        <v>45831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Holmen skog AB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34747-2024</t>
        </is>
      </c>
      <c r="B1558" s="1" t="n">
        <v>45526</v>
      </c>
      <c r="C1558" s="1" t="n">
        <v>45831</v>
      </c>
      <c r="D1558" t="inlineStr">
        <is>
          <t>VÄSTERBOTTENS LÄN</t>
        </is>
      </c>
      <c r="E1558" t="inlineStr">
        <is>
          <t>LYCKSELE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34659-2024</t>
        </is>
      </c>
      <c r="B1559" s="1" t="n">
        <v>45526</v>
      </c>
      <c r="C1559" s="1" t="n">
        <v>45831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7.9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34789-2024</t>
        </is>
      </c>
      <c r="B1560" s="1" t="n">
        <v>45526</v>
      </c>
      <c r="C1560" s="1" t="n">
        <v>45831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5.7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34810-2024</t>
        </is>
      </c>
      <c r="B1561" s="1" t="n">
        <v>45526</v>
      </c>
      <c r="C1561" s="1" t="n">
        <v>45831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35007-2024</t>
        </is>
      </c>
      <c r="B1562" s="1" t="n">
        <v>45527</v>
      </c>
      <c r="C1562" s="1" t="n">
        <v>45831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34897-2024</t>
        </is>
      </c>
      <c r="B1563" s="1" t="n">
        <v>45527</v>
      </c>
      <c r="C1563" s="1" t="n">
        <v>45831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34857-2024</t>
        </is>
      </c>
      <c r="B1564" s="1" t="n">
        <v>45527</v>
      </c>
      <c r="C1564" s="1" t="n">
        <v>45831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35273-2024</t>
        </is>
      </c>
      <c r="B1565" s="1" t="n">
        <v>45530</v>
      </c>
      <c r="C1565" s="1" t="n">
        <v>45831</v>
      </c>
      <c r="D1565" t="inlineStr">
        <is>
          <t>VÄSTERBOTTENS LÄN</t>
        </is>
      </c>
      <c r="E1565" t="inlineStr">
        <is>
          <t>LYCKSELE</t>
        </is>
      </c>
      <c r="G1565" t="n">
        <v>17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35292-2024</t>
        </is>
      </c>
      <c r="B1566" s="1" t="n">
        <v>45530</v>
      </c>
      <c r="C1566" s="1" t="n">
        <v>45831</v>
      </c>
      <c r="D1566" t="inlineStr">
        <is>
          <t>VÄSTERBOTTENS LÄN</t>
        </is>
      </c>
      <c r="E1566" t="inlineStr">
        <is>
          <t>LYCKSELE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35266-2024</t>
        </is>
      </c>
      <c r="B1567" s="1" t="n">
        <v>45530</v>
      </c>
      <c r="C1567" s="1" t="n">
        <v>45831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Holmen skog AB</t>
        </is>
      </c>
      <c r="G1567" t="n">
        <v>6.2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35403-2024</t>
        </is>
      </c>
      <c r="B1568" s="1" t="n">
        <v>45531</v>
      </c>
      <c r="C1568" s="1" t="n">
        <v>45831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5.2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35547-2024</t>
        </is>
      </c>
      <c r="B1569" s="1" t="n">
        <v>45531</v>
      </c>
      <c r="C1569" s="1" t="n">
        <v>45831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35569-2024</t>
        </is>
      </c>
      <c r="B1570" s="1" t="n">
        <v>45531</v>
      </c>
      <c r="C1570" s="1" t="n">
        <v>45831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35586-2024</t>
        </is>
      </c>
      <c r="B1571" s="1" t="n">
        <v>45531</v>
      </c>
      <c r="C1571" s="1" t="n">
        <v>45831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35598-2024</t>
        </is>
      </c>
      <c r="B1572" s="1" t="n">
        <v>45531</v>
      </c>
      <c r="C1572" s="1" t="n">
        <v>45831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35653-2024</t>
        </is>
      </c>
      <c r="B1573" s="1" t="n">
        <v>45532</v>
      </c>
      <c r="C1573" s="1" t="n">
        <v>45831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35710-2024</t>
        </is>
      </c>
      <c r="B1574" s="1" t="n">
        <v>45532</v>
      </c>
      <c r="C1574" s="1" t="n">
        <v>45831</v>
      </c>
      <c r="D1574" t="inlineStr">
        <is>
          <t>VÄSTERBOTTENS LÄN</t>
        </is>
      </c>
      <c r="E1574" t="inlineStr">
        <is>
          <t>LYCKSELE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35679-2024</t>
        </is>
      </c>
      <c r="B1575" s="1" t="n">
        <v>45532</v>
      </c>
      <c r="C1575" s="1" t="n">
        <v>45831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35691-2024</t>
        </is>
      </c>
      <c r="B1576" s="1" t="n">
        <v>45532</v>
      </c>
      <c r="C1576" s="1" t="n">
        <v>45831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3.5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35699-2024</t>
        </is>
      </c>
      <c r="B1577" s="1" t="n">
        <v>45532</v>
      </c>
      <c r="C1577" s="1" t="n">
        <v>45831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35788-2024</t>
        </is>
      </c>
      <c r="B1578" s="1" t="n">
        <v>45532</v>
      </c>
      <c r="C1578" s="1" t="n">
        <v>45831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10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35970-2024</t>
        </is>
      </c>
      <c r="B1579" s="1" t="n">
        <v>45533</v>
      </c>
      <c r="C1579" s="1" t="n">
        <v>45831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12.6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35946-2024</t>
        </is>
      </c>
      <c r="B1580" s="1" t="n">
        <v>45533</v>
      </c>
      <c r="C1580" s="1" t="n">
        <v>45831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4.2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36150-2024</t>
        </is>
      </c>
      <c r="B1581" s="1" t="n">
        <v>45534</v>
      </c>
      <c r="C1581" s="1" t="n">
        <v>45831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Holmen skog AB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36274-2024</t>
        </is>
      </c>
      <c r="B1582" s="1" t="n">
        <v>45534</v>
      </c>
      <c r="C1582" s="1" t="n">
        <v>45831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36324-2024</t>
        </is>
      </c>
      <c r="B1583" s="1" t="n">
        <v>45534</v>
      </c>
      <c r="C1583" s="1" t="n">
        <v>45831</v>
      </c>
      <c r="D1583" t="inlineStr">
        <is>
          <t>VÄSTERBOTTENS LÄN</t>
        </is>
      </c>
      <c r="E1583" t="inlineStr">
        <is>
          <t>LYCKSELE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36240-2024</t>
        </is>
      </c>
      <c r="B1584" s="1" t="n">
        <v>45534</v>
      </c>
      <c r="C1584" s="1" t="n">
        <v>45831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28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36325-2024</t>
        </is>
      </c>
      <c r="B1585" s="1" t="n">
        <v>45534</v>
      </c>
      <c r="C1585" s="1" t="n">
        <v>45831</v>
      </c>
      <c r="D1585" t="inlineStr">
        <is>
          <t>VÄSTERBOTTENS LÄN</t>
        </is>
      </c>
      <c r="E1585" t="inlineStr">
        <is>
          <t>LYCKSELE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36357-2024</t>
        </is>
      </c>
      <c r="B1586" s="1" t="n">
        <v>45534</v>
      </c>
      <c r="C1586" s="1" t="n">
        <v>45831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SCA</t>
        </is>
      </c>
      <c r="G1586" t="n">
        <v>4.8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36387-2024</t>
        </is>
      </c>
      <c r="B1587" s="1" t="n">
        <v>45534</v>
      </c>
      <c r="C1587" s="1" t="n">
        <v>45831</v>
      </c>
      <c r="D1587" t="inlineStr">
        <is>
          <t>VÄSTERBOTTENS LÄN</t>
        </is>
      </c>
      <c r="E1587" t="inlineStr">
        <is>
          <t>LYCKSELE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37391-2024</t>
        </is>
      </c>
      <c r="B1588" s="1" t="n">
        <v>45540</v>
      </c>
      <c r="C1588" s="1" t="n">
        <v>45831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SCA</t>
        </is>
      </c>
      <c r="G1588" t="n">
        <v>6.7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37658-2024</t>
        </is>
      </c>
      <c r="B1589" s="1" t="n">
        <v>45541</v>
      </c>
      <c r="C1589" s="1" t="n">
        <v>45831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Holmen skog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37500-2024</t>
        </is>
      </c>
      <c r="B1590" s="1" t="n">
        <v>45541</v>
      </c>
      <c r="C1590" s="1" t="n">
        <v>45831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Holmen skog AB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37508-2024</t>
        </is>
      </c>
      <c r="B1591" s="1" t="n">
        <v>45541</v>
      </c>
      <c r="C1591" s="1" t="n">
        <v>45831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Holmen skog AB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37664-2024</t>
        </is>
      </c>
      <c r="B1592" s="1" t="n">
        <v>45541</v>
      </c>
      <c r="C1592" s="1" t="n">
        <v>45831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37599-2024</t>
        </is>
      </c>
      <c r="B1593" s="1" t="n">
        <v>45541</v>
      </c>
      <c r="C1593" s="1" t="n">
        <v>45831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Holmen skog AB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37915-2024</t>
        </is>
      </c>
      <c r="B1594" s="1" t="n">
        <v>45544</v>
      </c>
      <c r="C1594" s="1" t="n">
        <v>45831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SCA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37817-2024</t>
        </is>
      </c>
      <c r="B1595" s="1" t="n">
        <v>45544</v>
      </c>
      <c r="C1595" s="1" t="n">
        <v>45831</v>
      </c>
      <c r="D1595" t="inlineStr">
        <is>
          <t>VÄSTERBOTTENS LÄN</t>
        </is>
      </c>
      <c r="E1595" t="inlineStr">
        <is>
          <t>LYCKSELE</t>
        </is>
      </c>
      <c r="G1595" t="n">
        <v>12.3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37969-2024</t>
        </is>
      </c>
      <c r="B1596" s="1" t="n">
        <v>45544</v>
      </c>
      <c r="C1596" s="1" t="n">
        <v>45831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37950-2024</t>
        </is>
      </c>
      <c r="B1597" s="1" t="n">
        <v>45544</v>
      </c>
      <c r="C1597" s="1" t="n">
        <v>45831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38112-2024</t>
        </is>
      </c>
      <c r="B1598" s="1" t="n">
        <v>45545</v>
      </c>
      <c r="C1598" s="1" t="n">
        <v>45831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SCA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38121-2024</t>
        </is>
      </c>
      <c r="B1599" s="1" t="n">
        <v>45545</v>
      </c>
      <c r="C1599" s="1" t="n">
        <v>45831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8.4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38114-2024</t>
        </is>
      </c>
      <c r="B1600" s="1" t="n">
        <v>45545</v>
      </c>
      <c r="C1600" s="1" t="n">
        <v>45831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SCA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38212-2024</t>
        </is>
      </c>
      <c r="B1601" s="1" t="n">
        <v>45545</v>
      </c>
      <c r="C1601" s="1" t="n">
        <v>45831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38402-2024</t>
        </is>
      </c>
      <c r="B1602" s="1" t="n">
        <v>45546</v>
      </c>
      <c r="C1602" s="1" t="n">
        <v>45831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SCA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38478-2024</t>
        </is>
      </c>
      <c r="B1603" s="1" t="n">
        <v>45546</v>
      </c>
      <c r="C1603" s="1" t="n">
        <v>45831</v>
      </c>
      <c r="D1603" t="inlineStr">
        <is>
          <t>VÄSTERBOTTENS LÄN</t>
        </is>
      </c>
      <c r="E1603" t="inlineStr">
        <is>
          <t>LYCKSELE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38623-2024</t>
        </is>
      </c>
      <c r="B1604" s="1" t="n">
        <v>45546</v>
      </c>
      <c r="C1604" s="1" t="n">
        <v>45831</v>
      </c>
      <c r="D1604" t="inlineStr">
        <is>
          <t>VÄSTERBOTTENS LÄN</t>
        </is>
      </c>
      <c r="E1604" t="inlineStr">
        <is>
          <t>LYCKSELE</t>
        </is>
      </c>
      <c r="G1604" t="n">
        <v>5.9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38704-2024</t>
        </is>
      </c>
      <c r="B1605" s="1" t="n">
        <v>45547</v>
      </c>
      <c r="C1605" s="1" t="n">
        <v>45831</v>
      </c>
      <c r="D1605" t="inlineStr">
        <is>
          <t>VÄSTERBOTTENS LÄN</t>
        </is>
      </c>
      <c r="E1605" t="inlineStr">
        <is>
          <t>LYCKSELE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38901-2024</t>
        </is>
      </c>
      <c r="B1606" s="1" t="n">
        <v>45547</v>
      </c>
      <c r="C1606" s="1" t="n">
        <v>45831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4.3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39222-2024</t>
        </is>
      </c>
      <c r="B1607" s="1" t="n">
        <v>45549</v>
      </c>
      <c r="C1607" s="1" t="n">
        <v>45831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39321-2024</t>
        </is>
      </c>
      <c r="B1608" s="1" t="n">
        <v>45551</v>
      </c>
      <c r="C1608" s="1" t="n">
        <v>45831</v>
      </c>
      <c r="D1608" t="inlineStr">
        <is>
          <t>VÄSTERBOTTENS LÄN</t>
        </is>
      </c>
      <c r="E1608" t="inlineStr">
        <is>
          <t>LYCKSELE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39605-2024</t>
        </is>
      </c>
      <c r="B1609" s="1" t="n">
        <v>45552</v>
      </c>
      <c r="C1609" s="1" t="n">
        <v>45831</v>
      </c>
      <c r="D1609" t="inlineStr">
        <is>
          <t>VÄSTERBOTTENS LÄN</t>
        </is>
      </c>
      <c r="E1609" t="inlineStr">
        <is>
          <t>LYCKSELE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39658-2024</t>
        </is>
      </c>
      <c r="B1610" s="1" t="n">
        <v>45552</v>
      </c>
      <c r="C1610" s="1" t="n">
        <v>45831</v>
      </c>
      <c r="D1610" t="inlineStr">
        <is>
          <t>VÄSTERBOTTENS LÄN</t>
        </is>
      </c>
      <c r="E1610" t="inlineStr">
        <is>
          <t>LYCKSELE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39639-2024</t>
        </is>
      </c>
      <c r="B1611" s="1" t="n">
        <v>45552</v>
      </c>
      <c r="C1611" s="1" t="n">
        <v>45831</v>
      </c>
      <c r="D1611" t="inlineStr">
        <is>
          <t>VÄSTERBOTTENS LÄN</t>
        </is>
      </c>
      <c r="E1611" t="inlineStr">
        <is>
          <t>LYCKSELE</t>
        </is>
      </c>
      <c r="G1611" t="n">
        <v>5.3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39647-2024</t>
        </is>
      </c>
      <c r="B1612" s="1" t="n">
        <v>45552</v>
      </c>
      <c r="C1612" s="1" t="n">
        <v>45831</v>
      </c>
      <c r="D1612" t="inlineStr">
        <is>
          <t>VÄSTERBOTTENS LÄN</t>
        </is>
      </c>
      <c r="E1612" t="inlineStr">
        <is>
          <t>LYCKSELE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40006-2024</t>
        </is>
      </c>
      <c r="B1613" s="1" t="n">
        <v>45553</v>
      </c>
      <c r="C1613" s="1" t="n">
        <v>45831</v>
      </c>
      <c r="D1613" t="inlineStr">
        <is>
          <t>VÄSTERBOTTENS LÄN</t>
        </is>
      </c>
      <c r="E1613" t="inlineStr">
        <is>
          <t>LYCKSELE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39977-2024</t>
        </is>
      </c>
      <c r="B1614" s="1" t="n">
        <v>45553</v>
      </c>
      <c r="C1614" s="1" t="n">
        <v>45831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Holmen skog AB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40020-2024</t>
        </is>
      </c>
      <c r="B1615" s="1" t="n">
        <v>45553</v>
      </c>
      <c r="C1615" s="1" t="n">
        <v>45831</v>
      </c>
      <c r="D1615" t="inlineStr">
        <is>
          <t>VÄSTERBOTTENS LÄN</t>
        </is>
      </c>
      <c r="E1615" t="inlineStr">
        <is>
          <t>LYCKSELE</t>
        </is>
      </c>
      <c r="G1615" t="n">
        <v>6.1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40053-2024</t>
        </is>
      </c>
      <c r="B1616" s="1" t="n">
        <v>45553</v>
      </c>
      <c r="C1616" s="1" t="n">
        <v>45831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5.1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40067-2024</t>
        </is>
      </c>
      <c r="B1617" s="1" t="n">
        <v>45554</v>
      </c>
      <c r="C1617" s="1" t="n">
        <v>45831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5.5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40115-2024</t>
        </is>
      </c>
      <c r="B1618" s="1" t="n">
        <v>45554</v>
      </c>
      <c r="C1618" s="1" t="n">
        <v>45831</v>
      </c>
      <c r="D1618" t="inlineStr">
        <is>
          <t>VÄSTERBOTTENS LÄN</t>
        </is>
      </c>
      <c r="E1618" t="inlineStr">
        <is>
          <t>LYCKSELE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40445-2024</t>
        </is>
      </c>
      <c r="B1619" s="1" t="n">
        <v>45555</v>
      </c>
      <c r="C1619" s="1" t="n">
        <v>45831</v>
      </c>
      <c r="D1619" t="inlineStr">
        <is>
          <t>VÄSTERBOTTENS LÄN</t>
        </is>
      </c>
      <c r="E1619" t="inlineStr">
        <is>
          <t>LYCKSELE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40488-2024</t>
        </is>
      </c>
      <c r="B1620" s="1" t="n">
        <v>45555</v>
      </c>
      <c r="C1620" s="1" t="n">
        <v>45831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6.8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40548-2024</t>
        </is>
      </c>
      <c r="B1621" s="1" t="n">
        <v>45555</v>
      </c>
      <c r="C1621" s="1" t="n">
        <v>45831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Holmen skog AB</t>
        </is>
      </c>
      <c r="G1621" t="n">
        <v>6.6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40361-2024</t>
        </is>
      </c>
      <c r="B1622" s="1" t="n">
        <v>45555</v>
      </c>
      <c r="C1622" s="1" t="n">
        <v>45831</v>
      </c>
      <c r="D1622" t="inlineStr">
        <is>
          <t>VÄSTERBOTTENS LÄN</t>
        </is>
      </c>
      <c r="E1622" t="inlineStr">
        <is>
          <t>LYCKSELE</t>
        </is>
      </c>
      <c r="G1622" t="n">
        <v>14.7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40527-2024</t>
        </is>
      </c>
      <c r="B1623" s="1" t="n">
        <v>45555</v>
      </c>
      <c r="C1623" s="1" t="n">
        <v>45831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40625-2024</t>
        </is>
      </c>
      <c r="B1624" s="1" t="n">
        <v>45557</v>
      </c>
      <c r="C1624" s="1" t="n">
        <v>45831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40624-2024</t>
        </is>
      </c>
      <c r="B1625" s="1" t="n">
        <v>45557</v>
      </c>
      <c r="C1625" s="1" t="n">
        <v>45831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40908-2024</t>
        </is>
      </c>
      <c r="B1626" s="1" t="n">
        <v>45558</v>
      </c>
      <c r="C1626" s="1" t="n">
        <v>45831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40912-2024</t>
        </is>
      </c>
      <c r="B1627" s="1" t="n">
        <v>45558</v>
      </c>
      <c r="C1627" s="1" t="n">
        <v>45831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11.1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41105-2024</t>
        </is>
      </c>
      <c r="B1628" s="1" t="n">
        <v>45559</v>
      </c>
      <c r="C1628" s="1" t="n">
        <v>45831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41095-2024</t>
        </is>
      </c>
      <c r="B1629" s="1" t="n">
        <v>45559</v>
      </c>
      <c r="C1629" s="1" t="n">
        <v>45831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Holmen skog AB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41232-2024</t>
        </is>
      </c>
      <c r="B1630" s="1" t="n">
        <v>45559</v>
      </c>
      <c r="C1630" s="1" t="n">
        <v>45831</v>
      </c>
      <c r="D1630" t="inlineStr">
        <is>
          <t>VÄSTERBOTTENS LÄN</t>
        </is>
      </c>
      <c r="E1630" t="inlineStr">
        <is>
          <t>LYCKSELE</t>
        </is>
      </c>
      <c r="G1630" t="n">
        <v>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41285-2024</t>
        </is>
      </c>
      <c r="B1631" s="1" t="n">
        <v>45559</v>
      </c>
      <c r="C1631" s="1" t="n">
        <v>45831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Holmen skog AB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41263-2024</t>
        </is>
      </c>
      <c r="B1632" s="1" t="n">
        <v>45559</v>
      </c>
      <c r="C1632" s="1" t="n">
        <v>45831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Holmen skog AB</t>
        </is>
      </c>
      <c r="G1632" t="n">
        <v>19.8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  <c r="U1632">
        <f>HYPERLINK("https://klasma.github.io/Logging_2481/knärot/A 41263-2024 karta knärot.png", "A 41263-2024")</f>
        <v/>
      </c>
      <c r="V1632">
        <f>HYPERLINK("https://klasma.github.io/Logging_2481/klagomål/A 41263-2024 FSC-klagomål.docx", "A 41263-2024")</f>
        <v/>
      </c>
      <c r="W1632">
        <f>HYPERLINK("https://klasma.github.io/Logging_2481/klagomålsmail/A 41263-2024 FSC-klagomål mail.docx", "A 41263-2024")</f>
        <v/>
      </c>
      <c r="X1632">
        <f>HYPERLINK("https://klasma.github.io/Logging_2481/tillsyn/A 41263-2024 tillsynsbegäran.docx", "A 41263-2024")</f>
        <v/>
      </c>
      <c r="Y1632">
        <f>HYPERLINK("https://klasma.github.io/Logging_2481/tillsynsmail/A 41263-2024 tillsynsbegäran mail.docx", "A 41263-2024")</f>
        <v/>
      </c>
    </row>
    <row r="1633" ht="15" customHeight="1">
      <c r="A1633" t="inlineStr">
        <is>
          <t>A 41295-2024</t>
        </is>
      </c>
      <c r="B1633" s="1" t="n">
        <v>45559</v>
      </c>
      <c r="C1633" s="1" t="n">
        <v>45831</v>
      </c>
      <c r="D1633" t="inlineStr">
        <is>
          <t>VÄSTERBOTTENS LÄN</t>
        </is>
      </c>
      <c r="E1633" t="inlineStr">
        <is>
          <t>LYCKSELE</t>
        </is>
      </c>
      <c r="G1633" t="n">
        <v>7.5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41209-2024</t>
        </is>
      </c>
      <c r="B1634" s="1" t="n">
        <v>45559</v>
      </c>
      <c r="C1634" s="1" t="n">
        <v>45831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25.4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41410-2024</t>
        </is>
      </c>
      <c r="B1635" s="1" t="n">
        <v>45560</v>
      </c>
      <c r="C1635" s="1" t="n">
        <v>45831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SCA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41523-2024</t>
        </is>
      </c>
      <c r="B1636" s="1" t="n">
        <v>45560</v>
      </c>
      <c r="C1636" s="1" t="n">
        <v>45831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Holmen skog AB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41417-2024</t>
        </is>
      </c>
      <c r="B1637" s="1" t="n">
        <v>45560</v>
      </c>
      <c r="C1637" s="1" t="n">
        <v>45831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SCA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41749-2024</t>
        </is>
      </c>
      <c r="B1638" s="1" t="n">
        <v>45561</v>
      </c>
      <c r="C1638" s="1" t="n">
        <v>45831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41950-2024</t>
        </is>
      </c>
      <c r="B1639" s="1" t="n">
        <v>45561</v>
      </c>
      <c r="C1639" s="1" t="n">
        <v>45831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11.8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41977-2024</t>
        </is>
      </c>
      <c r="B1640" s="1" t="n">
        <v>45561</v>
      </c>
      <c r="C1640" s="1" t="n">
        <v>45831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41982-2024</t>
        </is>
      </c>
      <c r="B1641" s="1" t="n">
        <v>45561</v>
      </c>
      <c r="C1641" s="1" t="n">
        <v>45831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41808-2024</t>
        </is>
      </c>
      <c r="B1642" s="1" t="n">
        <v>45561</v>
      </c>
      <c r="C1642" s="1" t="n">
        <v>45831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42023-2024</t>
        </is>
      </c>
      <c r="B1643" s="1" t="n">
        <v>45561</v>
      </c>
      <c r="C1643" s="1" t="n">
        <v>45831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7.2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41756-2024</t>
        </is>
      </c>
      <c r="B1644" s="1" t="n">
        <v>45561</v>
      </c>
      <c r="C1644" s="1" t="n">
        <v>45831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41793-2024</t>
        </is>
      </c>
      <c r="B1645" s="1" t="n">
        <v>45561</v>
      </c>
      <c r="C1645" s="1" t="n">
        <v>45831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7.1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41980-2024</t>
        </is>
      </c>
      <c r="B1646" s="1" t="n">
        <v>45561</v>
      </c>
      <c r="C1646" s="1" t="n">
        <v>45831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42347-2024</t>
        </is>
      </c>
      <c r="B1647" s="1" t="n">
        <v>45562</v>
      </c>
      <c r="C1647" s="1" t="n">
        <v>45831</v>
      </c>
      <c r="D1647" t="inlineStr">
        <is>
          <t>VÄSTERBOTTENS LÄN</t>
        </is>
      </c>
      <c r="E1647" t="inlineStr">
        <is>
          <t>LYCKSELE</t>
        </is>
      </c>
      <c r="G1647" t="n">
        <v>6.2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42293-2024</t>
        </is>
      </c>
      <c r="B1648" s="1" t="n">
        <v>45562</v>
      </c>
      <c r="C1648" s="1" t="n">
        <v>45831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42350-2024</t>
        </is>
      </c>
      <c r="B1649" s="1" t="n">
        <v>45562</v>
      </c>
      <c r="C1649" s="1" t="n">
        <v>45831</v>
      </c>
      <c r="D1649" t="inlineStr">
        <is>
          <t>VÄSTERBOTTENS LÄN</t>
        </is>
      </c>
      <c r="E1649" t="inlineStr">
        <is>
          <t>LYCKSELE</t>
        </is>
      </c>
      <c r="G1649" t="n">
        <v>9.6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42596-2024</t>
        </is>
      </c>
      <c r="B1650" s="1" t="n">
        <v>45565</v>
      </c>
      <c r="C1650" s="1" t="n">
        <v>45831</v>
      </c>
      <c r="D1650" t="inlineStr">
        <is>
          <t>VÄSTERBOTTENS LÄN</t>
        </is>
      </c>
      <c r="E1650" t="inlineStr">
        <is>
          <t>LYCKSELE</t>
        </is>
      </c>
      <c r="G1650" t="n">
        <v>10.6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42593-2024</t>
        </is>
      </c>
      <c r="B1651" s="1" t="n">
        <v>45565</v>
      </c>
      <c r="C1651" s="1" t="n">
        <v>45831</v>
      </c>
      <c r="D1651" t="inlineStr">
        <is>
          <t>VÄSTERBOTTENS LÄN</t>
        </is>
      </c>
      <c r="E1651" t="inlineStr">
        <is>
          <t>LYCKSELE</t>
        </is>
      </c>
      <c r="G1651" t="n">
        <v>5.3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42603-2024</t>
        </is>
      </c>
      <c r="B1652" s="1" t="n">
        <v>45565</v>
      </c>
      <c r="C1652" s="1" t="n">
        <v>45831</v>
      </c>
      <c r="D1652" t="inlineStr">
        <is>
          <t>VÄSTERBOTTENS LÄN</t>
        </is>
      </c>
      <c r="E1652" t="inlineStr">
        <is>
          <t>LYCKSELE</t>
        </is>
      </c>
      <c r="G1652" t="n">
        <v>8.4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42887-2024</t>
        </is>
      </c>
      <c r="B1653" s="1" t="n">
        <v>45566</v>
      </c>
      <c r="C1653" s="1" t="n">
        <v>45831</v>
      </c>
      <c r="D1653" t="inlineStr">
        <is>
          <t>VÄSTERBOTTENS LÄN</t>
        </is>
      </c>
      <c r="E1653" t="inlineStr">
        <is>
          <t>LYCKSELE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42839-2024</t>
        </is>
      </c>
      <c r="B1654" s="1" t="n">
        <v>45566</v>
      </c>
      <c r="C1654" s="1" t="n">
        <v>45831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42836-2024</t>
        </is>
      </c>
      <c r="B1655" s="1" t="n">
        <v>45566</v>
      </c>
      <c r="C1655" s="1" t="n">
        <v>45831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43166-2024</t>
        </is>
      </c>
      <c r="B1656" s="1" t="n">
        <v>45567</v>
      </c>
      <c r="C1656" s="1" t="n">
        <v>45831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43302-2024</t>
        </is>
      </c>
      <c r="B1657" s="1" t="n">
        <v>45568</v>
      </c>
      <c r="C1657" s="1" t="n">
        <v>45831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58.3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43296-2024</t>
        </is>
      </c>
      <c r="B1658" s="1" t="n">
        <v>45568</v>
      </c>
      <c r="C1658" s="1" t="n">
        <v>45831</v>
      </c>
      <c r="D1658" t="inlineStr">
        <is>
          <t>VÄSTERBOTTENS LÄN</t>
        </is>
      </c>
      <c r="E1658" t="inlineStr">
        <is>
          <t>LYCKSELE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43572-2024</t>
        </is>
      </c>
      <c r="B1659" s="1" t="n">
        <v>45569</v>
      </c>
      <c r="C1659" s="1" t="n">
        <v>45831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11.8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43576-2024</t>
        </is>
      </c>
      <c r="B1660" s="1" t="n">
        <v>45569</v>
      </c>
      <c r="C1660" s="1" t="n">
        <v>45831</v>
      </c>
      <c r="D1660" t="inlineStr">
        <is>
          <t>VÄSTERBOTTENS LÄN</t>
        </is>
      </c>
      <c r="E1660" t="inlineStr">
        <is>
          <t>LYCKSELE</t>
        </is>
      </c>
      <c r="G1660" t="n">
        <v>5.2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43622-2024</t>
        </is>
      </c>
      <c r="B1661" s="1" t="n">
        <v>45569</v>
      </c>
      <c r="C1661" s="1" t="n">
        <v>45831</v>
      </c>
      <c r="D1661" t="inlineStr">
        <is>
          <t>VÄSTERBOTTENS LÄN</t>
        </is>
      </c>
      <c r="E1661" t="inlineStr">
        <is>
          <t>LYCKSELE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43566-2024</t>
        </is>
      </c>
      <c r="B1662" s="1" t="n">
        <v>45569</v>
      </c>
      <c r="C1662" s="1" t="n">
        <v>45831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43548-2024</t>
        </is>
      </c>
      <c r="B1663" s="1" t="n">
        <v>45569</v>
      </c>
      <c r="C1663" s="1" t="n">
        <v>45831</v>
      </c>
      <c r="D1663" t="inlineStr">
        <is>
          <t>VÄSTERBOTTENS LÄN</t>
        </is>
      </c>
      <c r="E1663" t="inlineStr">
        <is>
          <t>LYCKSELE</t>
        </is>
      </c>
      <c r="G1663" t="n">
        <v>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43925-2024</t>
        </is>
      </c>
      <c r="B1664" s="1" t="n">
        <v>45572</v>
      </c>
      <c r="C1664" s="1" t="n">
        <v>45831</v>
      </c>
      <c r="D1664" t="inlineStr">
        <is>
          <t>VÄSTERBOTTENS LÄN</t>
        </is>
      </c>
      <c r="E1664" t="inlineStr">
        <is>
          <t>LYCKSELE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44385-2024</t>
        </is>
      </c>
      <c r="B1665" s="1" t="n">
        <v>45573</v>
      </c>
      <c r="C1665" s="1" t="n">
        <v>45831</v>
      </c>
      <c r="D1665" t="inlineStr">
        <is>
          <t>VÄSTERBOTTENS LÄN</t>
        </is>
      </c>
      <c r="E1665" t="inlineStr">
        <is>
          <t>LYCKSELE</t>
        </is>
      </c>
      <c r="G1665" t="n">
        <v>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44233-2024</t>
        </is>
      </c>
      <c r="B1666" s="1" t="n">
        <v>45573</v>
      </c>
      <c r="C1666" s="1" t="n">
        <v>45831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44390-2024</t>
        </is>
      </c>
      <c r="B1667" s="1" t="n">
        <v>45573</v>
      </c>
      <c r="C1667" s="1" t="n">
        <v>45831</v>
      </c>
      <c r="D1667" t="inlineStr">
        <is>
          <t>VÄSTERBOTTENS LÄN</t>
        </is>
      </c>
      <c r="E1667" t="inlineStr">
        <is>
          <t>LYCKSELE</t>
        </is>
      </c>
      <c r="G1667" t="n">
        <v>7.4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44289-2024</t>
        </is>
      </c>
      <c r="B1668" s="1" t="n">
        <v>45573</v>
      </c>
      <c r="C1668" s="1" t="n">
        <v>45831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SCA</t>
        </is>
      </c>
      <c r="G1668" t="n">
        <v>4.4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44509-2024</t>
        </is>
      </c>
      <c r="B1669" s="1" t="n">
        <v>45574</v>
      </c>
      <c r="C1669" s="1" t="n">
        <v>45831</v>
      </c>
      <c r="D1669" t="inlineStr">
        <is>
          <t>VÄSTERBOTTENS LÄN</t>
        </is>
      </c>
      <c r="E1669" t="inlineStr">
        <is>
          <t>LYCKSELE</t>
        </is>
      </c>
      <c r="G1669" t="n">
        <v>19.7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44672-2024</t>
        </is>
      </c>
      <c r="B1670" s="1" t="n">
        <v>45574</v>
      </c>
      <c r="C1670" s="1" t="n">
        <v>45831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11.6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44653-2024</t>
        </is>
      </c>
      <c r="B1671" s="1" t="n">
        <v>45574</v>
      </c>
      <c r="C1671" s="1" t="n">
        <v>45831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44773-2024</t>
        </is>
      </c>
      <c r="B1672" s="1" t="n">
        <v>45574</v>
      </c>
      <c r="C1672" s="1" t="n">
        <v>45831</v>
      </c>
      <c r="D1672" t="inlineStr">
        <is>
          <t>VÄSTERBOTTENS LÄN</t>
        </is>
      </c>
      <c r="E1672" t="inlineStr">
        <is>
          <t>LYCKSELE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44588-2024</t>
        </is>
      </c>
      <c r="B1673" s="1" t="n">
        <v>45574</v>
      </c>
      <c r="C1673" s="1" t="n">
        <v>45831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45037-2024</t>
        </is>
      </c>
      <c r="B1674" s="1" t="n">
        <v>45575</v>
      </c>
      <c r="C1674" s="1" t="n">
        <v>45831</v>
      </c>
      <c r="D1674" t="inlineStr">
        <is>
          <t>VÄSTERBOTTENS LÄN</t>
        </is>
      </c>
      <c r="E1674" t="inlineStr">
        <is>
          <t>LYCKSELE</t>
        </is>
      </c>
      <c r="G1674" t="n">
        <v>10.8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45352-2024</t>
        </is>
      </c>
      <c r="B1675" s="1" t="n">
        <v>45576</v>
      </c>
      <c r="C1675" s="1" t="n">
        <v>45831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7.6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45312-2024</t>
        </is>
      </c>
      <c r="B1676" s="1" t="n">
        <v>45576</v>
      </c>
      <c r="C1676" s="1" t="n">
        <v>45831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10.8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45444-2024</t>
        </is>
      </c>
      <c r="B1677" s="1" t="n">
        <v>45576</v>
      </c>
      <c r="C1677" s="1" t="n">
        <v>45831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45361-2024</t>
        </is>
      </c>
      <c r="B1678" s="1" t="n">
        <v>45576</v>
      </c>
      <c r="C1678" s="1" t="n">
        <v>45831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Holmen skog AB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45447-2024</t>
        </is>
      </c>
      <c r="B1679" s="1" t="n">
        <v>45576</v>
      </c>
      <c r="C1679" s="1" t="n">
        <v>45831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Naturvårdsverket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45406-2024</t>
        </is>
      </c>
      <c r="B1680" s="1" t="n">
        <v>45576</v>
      </c>
      <c r="C1680" s="1" t="n">
        <v>45831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Naturvårdsverket</t>
        </is>
      </c>
      <c r="G1680" t="n">
        <v>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45330-2024</t>
        </is>
      </c>
      <c r="B1681" s="1" t="n">
        <v>45576</v>
      </c>
      <c r="C1681" s="1" t="n">
        <v>45831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45366-2024</t>
        </is>
      </c>
      <c r="B1682" s="1" t="n">
        <v>45576</v>
      </c>
      <c r="C1682" s="1" t="n">
        <v>45831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45708-2024</t>
        </is>
      </c>
      <c r="B1683" s="1" t="n">
        <v>45579</v>
      </c>
      <c r="C1683" s="1" t="n">
        <v>45831</v>
      </c>
      <c r="D1683" t="inlineStr">
        <is>
          <t>VÄSTERBOTTENS LÄN</t>
        </is>
      </c>
      <c r="E1683" t="inlineStr">
        <is>
          <t>LYCKSELE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45980-2024</t>
        </is>
      </c>
      <c r="B1684" s="1" t="n">
        <v>45580</v>
      </c>
      <c r="C1684" s="1" t="n">
        <v>45831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45982-2024</t>
        </is>
      </c>
      <c r="B1685" s="1" t="n">
        <v>45580</v>
      </c>
      <c r="C1685" s="1" t="n">
        <v>45831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17.5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46292-2024</t>
        </is>
      </c>
      <c r="B1686" s="1" t="n">
        <v>45581</v>
      </c>
      <c r="C1686" s="1" t="n">
        <v>45831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17.3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46084-2024</t>
        </is>
      </c>
      <c r="B1687" s="1" t="n">
        <v>45581</v>
      </c>
      <c r="C1687" s="1" t="n">
        <v>45831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5.1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46506-2024</t>
        </is>
      </c>
      <c r="B1688" s="1" t="n">
        <v>45582</v>
      </c>
      <c r="C1688" s="1" t="n">
        <v>45831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46817-2024</t>
        </is>
      </c>
      <c r="B1689" s="1" t="n">
        <v>45583</v>
      </c>
      <c r="C1689" s="1" t="n">
        <v>45831</v>
      </c>
      <c r="D1689" t="inlineStr">
        <is>
          <t>VÄSTERBOTTENS LÄN</t>
        </is>
      </c>
      <c r="E1689" t="inlineStr">
        <is>
          <t>LYCKSELE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47209-2024</t>
        </is>
      </c>
      <c r="B1690" s="1" t="n">
        <v>45586</v>
      </c>
      <c r="C1690" s="1" t="n">
        <v>45831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5.9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47173-2024</t>
        </is>
      </c>
      <c r="B1691" s="1" t="n">
        <v>45586</v>
      </c>
      <c r="C1691" s="1" t="n">
        <v>45831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47200-2024</t>
        </is>
      </c>
      <c r="B1692" s="1" t="n">
        <v>45586</v>
      </c>
      <c r="C1692" s="1" t="n">
        <v>45831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47147-2024</t>
        </is>
      </c>
      <c r="B1693" s="1" t="n">
        <v>45586</v>
      </c>
      <c r="C1693" s="1" t="n">
        <v>45831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47131-2024</t>
        </is>
      </c>
      <c r="B1694" s="1" t="n">
        <v>45586</v>
      </c>
      <c r="C1694" s="1" t="n">
        <v>45831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47095-2024</t>
        </is>
      </c>
      <c r="B1695" s="1" t="n">
        <v>45586</v>
      </c>
      <c r="C1695" s="1" t="n">
        <v>45831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Naturvårdsverket</t>
        </is>
      </c>
      <c r="G1695" t="n">
        <v>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47182-2024</t>
        </is>
      </c>
      <c r="B1696" s="1" t="n">
        <v>45586</v>
      </c>
      <c r="C1696" s="1" t="n">
        <v>45831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47579-2024</t>
        </is>
      </c>
      <c r="B1697" s="1" t="n">
        <v>45587</v>
      </c>
      <c r="C1697" s="1" t="n">
        <v>45831</v>
      </c>
      <c r="D1697" t="inlineStr">
        <is>
          <t>VÄSTERBOTTENS LÄN</t>
        </is>
      </c>
      <c r="E1697" t="inlineStr">
        <is>
          <t>LYCKSELE</t>
        </is>
      </c>
      <c r="G1697" t="n">
        <v>14.8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47520-2024</t>
        </is>
      </c>
      <c r="B1698" s="1" t="n">
        <v>45587</v>
      </c>
      <c r="C1698" s="1" t="n">
        <v>45831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Holmen skog AB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47306-2024</t>
        </is>
      </c>
      <c r="B1699" s="1" t="n">
        <v>45587</v>
      </c>
      <c r="C1699" s="1" t="n">
        <v>45831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4.5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47287-2024</t>
        </is>
      </c>
      <c r="B1700" s="1" t="n">
        <v>45587</v>
      </c>
      <c r="C1700" s="1" t="n">
        <v>45831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47685-2024</t>
        </is>
      </c>
      <c r="B1701" s="1" t="n">
        <v>45588</v>
      </c>
      <c r="C1701" s="1" t="n">
        <v>45831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SCA</t>
        </is>
      </c>
      <c r="G1701" t="n">
        <v>10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47807-2024</t>
        </is>
      </c>
      <c r="B1702" s="1" t="n">
        <v>45588</v>
      </c>
      <c r="C1702" s="1" t="n">
        <v>45831</v>
      </c>
      <c r="D1702" t="inlineStr">
        <is>
          <t>VÄSTERBOTTENS LÄN</t>
        </is>
      </c>
      <c r="E1702" t="inlineStr">
        <is>
          <t>LYCKSELE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47832-2024</t>
        </is>
      </c>
      <c r="B1703" s="1" t="n">
        <v>45588</v>
      </c>
      <c r="C1703" s="1" t="n">
        <v>45831</v>
      </c>
      <c r="D1703" t="inlineStr">
        <is>
          <t>VÄSTERBOTTENS LÄN</t>
        </is>
      </c>
      <c r="E1703" t="inlineStr">
        <is>
          <t>LYCKSELE</t>
        </is>
      </c>
      <c r="G1703" t="n">
        <v>4.8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48376-2024</t>
        </is>
      </c>
      <c r="B1704" s="1" t="n">
        <v>45590</v>
      </c>
      <c r="C1704" s="1" t="n">
        <v>45831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48405-2024</t>
        </is>
      </c>
      <c r="B1705" s="1" t="n">
        <v>45590</v>
      </c>
      <c r="C1705" s="1" t="n">
        <v>45831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Holmen skog AB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48377-2024</t>
        </is>
      </c>
      <c r="B1706" s="1" t="n">
        <v>45590</v>
      </c>
      <c r="C1706" s="1" t="n">
        <v>45831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Holmen skog AB</t>
        </is>
      </c>
      <c r="G1706" t="n">
        <v>16.6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48330-2024</t>
        </is>
      </c>
      <c r="B1707" s="1" t="n">
        <v>45590</v>
      </c>
      <c r="C1707" s="1" t="n">
        <v>45831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48378-2024</t>
        </is>
      </c>
      <c r="B1708" s="1" t="n">
        <v>45590</v>
      </c>
      <c r="C1708" s="1" t="n">
        <v>45831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48411-2024</t>
        </is>
      </c>
      <c r="B1709" s="1" t="n">
        <v>45590</v>
      </c>
      <c r="C1709" s="1" t="n">
        <v>45831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Holmen skog AB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48379-2024</t>
        </is>
      </c>
      <c r="B1710" s="1" t="n">
        <v>45590</v>
      </c>
      <c r="C1710" s="1" t="n">
        <v>45831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48832-2024</t>
        </is>
      </c>
      <c r="B1711" s="1" t="n">
        <v>45593</v>
      </c>
      <c r="C1711" s="1" t="n">
        <v>45831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SCA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48543-2024</t>
        </is>
      </c>
      <c r="B1712" s="1" t="n">
        <v>45593</v>
      </c>
      <c r="C1712" s="1" t="n">
        <v>45831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Holmen skog AB</t>
        </is>
      </c>
      <c r="G1712" t="n">
        <v>5.2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48974-2024</t>
        </is>
      </c>
      <c r="B1713" s="1" t="n">
        <v>45594</v>
      </c>
      <c r="C1713" s="1" t="n">
        <v>45831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19.3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49130-2024</t>
        </is>
      </c>
      <c r="B1714" s="1" t="n">
        <v>45594</v>
      </c>
      <c r="C1714" s="1" t="n">
        <v>45831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49230-2024</t>
        </is>
      </c>
      <c r="B1715" s="1" t="n">
        <v>45595</v>
      </c>
      <c r="C1715" s="1" t="n">
        <v>45831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SCA</t>
        </is>
      </c>
      <c r="G1715" t="n">
        <v>7.1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49393-2024</t>
        </is>
      </c>
      <c r="B1716" s="1" t="n">
        <v>45595</v>
      </c>
      <c r="C1716" s="1" t="n">
        <v>45831</v>
      </c>
      <c r="D1716" t="inlineStr">
        <is>
          <t>VÄSTERBOTTENS LÄN</t>
        </is>
      </c>
      <c r="E1716" t="inlineStr">
        <is>
          <t>LYCKSELE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49350-2024</t>
        </is>
      </c>
      <c r="B1717" s="1" t="n">
        <v>45595</v>
      </c>
      <c r="C1717" s="1" t="n">
        <v>45831</v>
      </c>
      <c r="D1717" t="inlineStr">
        <is>
          <t>VÄSTERBOTTENS LÄN</t>
        </is>
      </c>
      <c r="E1717" t="inlineStr">
        <is>
          <t>LYCKSELE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49667-2024</t>
        </is>
      </c>
      <c r="B1718" s="1" t="n">
        <v>45596</v>
      </c>
      <c r="C1718" s="1" t="n">
        <v>45831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13.9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49803-2024</t>
        </is>
      </c>
      <c r="B1719" s="1" t="n">
        <v>45597</v>
      </c>
      <c r="C1719" s="1" t="n">
        <v>45831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49801-2024</t>
        </is>
      </c>
      <c r="B1720" s="1" t="n">
        <v>45597</v>
      </c>
      <c r="C1720" s="1" t="n">
        <v>45831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49978-2024</t>
        </is>
      </c>
      <c r="B1721" s="1" t="n">
        <v>45597</v>
      </c>
      <c r="C1721" s="1" t="n">
        <v>45831</v>
      </c>
      <c r="D1721" t="inlineStr">
        <is>
          <t>VÄSTERBOTTENS LÄN</t>
        </is>
      </c>
      <c r="E1721" t="inlineStr">
        <is>
          <t>LYCKSELE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49903-2024</t>
        </is>
      </c>
      <c r="B1722" s="1" t="n">
        <v>45597</v>
      </c>
      <c r="C1722" s="1" t="n">
        <v>45831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11.8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50018-2024</t>
        </is>
      </c>
      <c r="B1723" s="1" t="n">
        <v>45599</v>
      </c>
      <c r="C1723" s="1" t="n">
        <v>45831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50072-2024</t>
        </is>
      </c>
      <c r="B1724" s="1" t="n">
        <v>45600</v>
      </c>
      <c r="C1724" s="1" t="n">
        <v>45831</v>
      </c>
      <c r="D1724" t="inlineStr">
        <is>
          <t>VÄSTERBOTTENS LÄN</t>
        </is>
      </c>
      <c r="E1724" t="inlineStr">
        <is>
          <t>LYCKSELE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50093-2024</t>
        </is>
      </c>
      <c r="B1725" s="1" t="n">
        <v>45600</v>
      </c>
      <c r="C1725" s="1" t="n">
        <v>45831</v>
      </c>
      <c r="D1725" t="inlineStr">
        <is>
          <t>VÄSTERBOTTENS LÄN</t>
        </is>
      </c>
      <c r="E1725" t="inlineStr">
        <is>
          <t>LYCKSELE</t>
        </is>
      </c>
      <c r="G1725" t="n">
        <v>4.6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50071-2024</t>
        </is>
      </c>
      <c r="B1726" s="1" t="n">
        <v>45600</v>
      </c>
      <c r="C1726" s="1" t="n">
        <v>45831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Holmen skog AB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50365-2024</t>
        </is>
      </c>
      <c r="B1727" s="1" t="n">
        <v>45600</v>
      </c>
      <c r="C1727" s="1" t="n">
        <v>45831</v>
      </c>
      <c r="D1727" t="inlineStr">
        <is>
          <t>VÄSTERBOTTENS LÄN</t>
        </is>
      </c>
      <c r="E1727" t="inlineStr">
        <is>
          <t>LYCKSELE</t>
        </is>
      </c>
      <c r="G1727" t="n">
        <v>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50106-2024</t>
        </is>
      </c>
      <c r="B1728" s="1" t="n">
        <v>45600</v>
      </c>
      <c r="C1728" s="1" t="n">
        <v>45831</v>
      </c>
      <c r="D1728" t="inlineStr">
        <is>
          <t>VÄSTERBOTTENS LÄN</t>
        </is>
      </c>
      <c r="E1728" t="inlineStr">
        <is>
          <t>LYCKSELE</t>
        </is>
      </c>
      <c r="G1728" t="n">
        <v>8.199999999999999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50286-2024</t>
        </is>
      </c>
      <c r="B1729" s="1" t="n">
        <v>45600</v>
      </c>
      <c r="C1729" s="1" t="n">
        <v>45831</v>
      </c>
      <c r="D1729" t="inlineStr">
        <is>
          <t>VÄSTERBOTTENS LÄN</t>
        </is>
      </c>
      <c r="E1729" t="inlineStr">
        <is>
          <t>LYCKSELE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50468-2024</t>
        </is>
      </c>
      <c r="B1730" s="1" t="n">
        <v>45601</v>
      </c>
      <c r="C1730" s="1" t="n">
        <v>45831</v>
      </c>
      <c r="D1730" t="inlineStr">
        <is>
          <t>VÄSTERBOTTENS LÄN</t>
        </is>
      </c>
      <c r="E1730" t="inlineStr">
        <is>
          <t>LYCKSELE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50845-2024</t>
        </is>
      </c>
      <c r="B1731" s="1" t="n">
        <v>45602</v>
      </c>
      <c r="C1731" s="1" t="n">
        <v>45831</v>
      </c>
      <c r="D1731" t="inlineStr">
        <is>
          <t>VÄSTERBOTTENS LÄN</t>
        </is>
      </c>
      <c r="E1731" t="inlineStr">
        <is>
          <t>LYCKSELE</t>
        </is>
      </c>
      <c r="G1731" t="n">
        <v>4.4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50754-2024</t>
        </is>
      </c>
      <c r="B1732" s="1" t="n">
        <v>45602</v>
      </c>
      <c r="C1732" s="1" t="n">
        <v>45831</v>
      </c>
      <c r="D1732" t="inlineStr">
        <is>
          <t>VÄSTERBOTTENS LÄN</t>
        </is>
      </c>
      <c r="E1732" t="inlineStr">
        <is>
          <t>LYCKSELE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51152-2024</t>
        </is>
      </c>
      <c r="B1733" s="1" t="n">
        <v>45603</v>
      </c>
      <c r="C1733" s="1" t="n">
        <v>45831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51225-2024</t>
        </is>
      </c>
      <c r="B1734" s="1" t="n">
        <v>45603</v>
      </c>
      <c r="C1734" s="1" t="n">
        <v>45831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51053-2024</t>
        </is>
      </c>
      <c r="B1735" s="1" t="n">
        <v>45603</v>
      </c>
      <c r="C1735" s="1" t="n">
        <v>45831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SCA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51406-2024</t>
        </is>
      </c>
      <c r="B1736" s="1" t="n">
        <v>45604</v>
      </c>
      <c r="C1736" s="1" t="n">
        <v>45831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SCA</t>
        </is>
      </c>
      <c r="G1736" t="n">
        <v>8.199999999999999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51466-2024</t>
        </is>
      </c>
      <c r="B1737" s="1" t="n">
        <v>45604</v>
      </c>
      <c r="C1737" s="1" t="n">
        <v>45831</v>
      </c>
      <c r="D1737" t="inlineStr">
        <is>
          <t>VÄSTERBOTTENS LÄN</t>
        </is>
      </c>
      <c r="E1737" t="inlineStr">
        <is>
          <t>LYCKSELE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51572-2024</t>
        </is>
      </c>
      <c r="B1738" s="1" t="n">
        <v>45604</v>
      </c>
      <c r="C1738" s="1" t="n">
        <v>45831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9.9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51669-2024</t>
        </is>
      </c>
      <c r="B1739" s="1" t="n">
        <v>45606</v>
      </c>
      <c r="C1739" s="1" t="n">
        <v>45831</v>
      </c>
      <c r="D1739" t="inlineStr">
        <is>
          <t>VÄSTERBOTTENS LÄN</t>
        </is>
      </c>
      <c r="E1739" t="inlineStr">
        <is>
          <t>LYCKSELE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51699-2024</t>
        </is>
      </c>
      <c r="B1740" s="1" t="n">
        <v>45607</v>
      </c>
      <c r="C1740" s="1" t="n">
        <v>45831</v>
      </c>
      <c r="D1740" t="inlineStr">
        <is>
          <t>VÄSTERBOTTENS LÄN</t>
        </is>
      </c>
      <c r="E1740" t="inlineStr">
        <is>
          <t>LYCKSELE</t>
        </is>
      </c>
      <c r="G1740" t="n">
        <v>4.7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52249-2024</t>
        </is>
      </c>
      <c r="B1741" s="1" t="n">
        <v>45608</v>
      </c>
      <c r="C1741" s="1" t="n">
        <v>45831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52251-2024</t>
        </is>
      </c>
      <c r="B1742" s="1" t="n">
        <v>45608</v>
      </c>
      <c r="C1742" s="1" t="n">
        <v>45831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52222-2024</t>
        </is>
      </c>
      <c r="B1743" s="1" t="n">
        <v>45608</v>
      </c>
      <c r="C1743" s="1" t="n">
        <v>45831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52124-2024</t>
        </is>
      </c>
      <c r="B1744" s="1" t="n">
        <v>45608</v>
      </c>
      <c r="C1744" s="1" t="n">
        <v>45831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52144-2024</t>
        </is>
      </c>
      <c r="B1745" s="1" t="n">
        <v>45608</v>
      </c>
      <c r="C1745" s="1" t="n">
        <v>45831</v>
      </c>
      <c r="D1745" t="inlineStr">
        <is>
          <t>VÄSTERBOTTENS LÄN</t>
        </is>
      </c>
      <c r="E1745" t="inlineStr">
        <is>
          <t>LYCKSELE</t>
        </is>
      </c>
      <c r="G1745" t="n">
        <v>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52233-2024</t>
        </is>
      </c>
      <c r="B1746" s="1" t="n">
        <v>45608</v>
      </c>
      <c r="C1746" s="1" t="n">
        <v>45831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53076-2024</t>
        </is>
      </c>
      <c r="B1747" s="1" t="n">
        <v>45611</v>
      </c>
      <c r="C1747" s="1" t="n">
        <v>45831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9.300000000000001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53013-2024</t>
        </is>
      </c>
      <c r="B1748" s="1" t="n">
        <v>45611</v>
      </c>
      <c r="C1748" s="1" t="n">
        <v>45831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7.9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53116-2024</t>
        </is>
      </c>
      <c r="B1749" s="1" t="n">
        <v>45611</v>
      </c>
      <c r="C1749" s="1" t="n">
        <v>45831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53096-2024</t>
        </is>
      </c>
      <c r="B1750" s="1" t="n">
        <v>45611</v>
      </c>
      <c r="C1750" s="1" t="n">
        <v>45831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8.4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53011-2024</t>
        </is>
      </c>
      <c r="B1751" s="1" t="n">
        <v>45611</v>
      </c>
      <c r="C1751" s="1" t="n">
        <v>45831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7.1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53235-2024</t>
        </is>
      </c>
      <c r="B1752" s="1" t="n">
        <v>45613</v>
      </c>
      <c r="C1752" s="1" t="n">
        <v>45831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4.5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53233-2024</t>
        </is>
      </c>
      <c r="B1753" s="1" t="n">
        <v>45613</v>
      </c>
      <c r="C1753" s="1" t="n">
        <v>45831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53335-2024</t>
        </is>
      </c>
      <c r="B1754" s="1" t="n">
        <v>45614</v>
      </c>
      <c r="C1754" s="1" t="n">
        <v>45831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5.5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53779-2024</t>
        </is>
      </c>
      <c r="B1755" s="1" t="n">
        <v>45615</v>
      </c>
      <c r="C1755" s="1" t="n">
        <v>45831</v>
      </c>
      <c r="D1755" t="inlineStr">
        <is>
          <t>VÄSTERBOTTENS LÄN</t>
        </is>
      </c>
      <c r="E1755" t="inlineStr">
        <is>
          <t>LYCKSELE</t>
        </is>
      </c>
      <c r="G1755" t="n">
        <v>15.5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53791-2024</t>
        </is>
      </c>
      <c r="B1756" s="1" t="n">
        <v>45615</v>
      </c>
      <c r="C1756" s="1" t="n">
        <v>45831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SCA</t>
        </is>
      </c>
      <c r="G1756" t="n">
        <v>7.5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53790-2024</t>
        </is>
      </c>
      <c r="B1757" s="1" t="n">
        <v>45615</v>
      </c>
      <c r="C1757" s="1" t="n">
        <v>45831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SCA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53788-2024</t>
        </is>
      </c>
      <c r="B1758" s="1" t="n">
        <v>45615</v>
      </c>
      <c r="C1758" s="1" t="n">
        <v>45831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SCA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53874-2024</t>
        </is>
      </c>
      <c r="B1759" s="1" t="n">
        <v>45615</v>
      </c>
      <c r="C1759" s="1" t="n">
        <v>45831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SCA</t>
        </is>
      </c>
      <c r="G1759" t="n">
        <v>7.1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53875-2024</t>
        </is>
      </c>
      <c r="B1760" s="1" t="n">
        <v>45615</v>
      </c>
      <c r="C1760" s="1" t="n">
        <v>45831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SCA</t>
        </is>
      </c>
      <c r="G1760" t="n">
        <v>8.699999999999999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54123-2024</t>
        </is>
      </c>
      <c r="B1761" s="1" t="n">
        <v>45616</v>
      </c>
      <c r="C1761" s="1" t="n">
        <v>45831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3.7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54267-2024</t>
        </is>
      </c>
      <c r="B1762" s="1" t="n">
        <v>45616</v>
      </c>
      <c r="C1762" s="1" t="n">
        <v>45831</v>
      </c>
      <c r="D1762" t="inlineStr">
        <is>
          <t>VÄSTERBOTTENS LÄN</t>
        </is>
      </c>
      <c r="E1762" t="inlineStr">
        <is>
          <t>LYCKSELE</t>
        </is>
      </c>
      <c r="G1762" t="n">
        <v>4.7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54104-2024</t>
        </is>
      </c>
      <c r="B1763" s="1" t="n">
        <v>45616</v>
      </c>
      <c r="C1763" s="1" t="n">
        <v>45831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SCA</t>
        </is>
      </c>
      <c r="G1763" t="n">
        <v>12.2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54274-2024</t>
        </is>
      </c>
      <c r="B1764" s="1" t="n">
        <v>45616</v>
      </c>
      <c r="C1764" s="1" t="n">
        <v>45831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23.8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54277-2024</t>
        </is>
      </c>
      <c r="B1765" s="1" t="n">
        <v>45616</v>
      </c>
      <c r="C1765" s="1" t="n">
        <v>45831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53949-2024</t>
        </is>
      </c>
      <c r="B1766" s="1" t="n">
        <v>45616</v>
      </c>
      <c r="C1766" s="1" t="n">
        <v>45831</v>
      </c>
      <c r="D1766" t="inlineStr">
        <is>
          <t>VÄSTERBOTTENS LÄN</t>
        </is>
      </c>
      <c r="E1766" t="inlineStr">
        <is>
          <t>LYCKSELE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54205-2024</t>
        </is>
      </c>
      <c r="B1767" s="1" t="n">
        <v>45616</v>
      </c>
      <c r="C1767" s="1" t="n">
        <v>45831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54268-2024</t>
        </is>
      </c>
      <c r="B1768" s="1" t="n">
        <v>45616</v>
      </c>
      <c r="C1768" s="1" t="n">
        <v>45831</v>
      </c>
      <c r="D1768" t="inlineStr">
        <is>
          <t>VÄSTERBOTTENS LÄN</t>
        </is>
      </c>
      <c r="E1768" t="inlineStr">
        <is>
          <t>LYCKSELE</t>
        </is>
      </c>
      <c r="G1768" t="n">
        <v>4.7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54275-2024</t>
        </is>
      </c>
      <c r="B1769" s="1" t="n">
        <v>45616</v>
      </c>
      <c r="C1769" s="1" t="n">
        <v>45831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6.4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54287-2024</t>
        </is>
      </c>
      <c r="B1770" s="1" t="n">
        <v>45617</v>
      </c>
      <c r="C1770" s="1" t="n">
        <v>45831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4.1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54400-2024</t>
        </is>
      </c>
      <c r="B1771" s="1" t="n">
        <v>45617</v>
      </c>
      <c r="C1771" s="1" t="n">
        <v>45831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6.5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54531-2024</t>
        </is>
      </c>
      <c r="B1772" s="1" t="n">
        <v>45617</v>
      </c>
      <c r="C1772" s="1" t="n">
        <v>45831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54619-2024</t>
        </is>
      </c>
      <c r="B1773" s="1" t="n">
        <v>45617</v>
      </c>
      <c r="C1773" s="1" t="n">
        <v>45831</v>
      </c>
      <c r="D1773" t="inlineStr">
        <is>
          <t>VÄSTERBOTTENS LÄN</t>
        </is>
      </c>
      <c r="E1773" t="inlineStr">
        <is>
          <t>LYCKSELE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54396-2024</t>
        </is>
      </c>
      <c r="B1774" s="1" t="n">
        <v>45617</v>
      </c>
      <c r="C1774" s="1" t="n">
        <v>45831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4.7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54428-2024</t>
        </is>
      </c>
      <c r="B1775" s="1" t="n">
        <v>45617</v>
      </c>
      <c r="C1775" s="1" t="n">
        <v>45831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SCA</t>
        </is>
      </c>
      <c r="G1775" t="n">
        <v>12.9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54697-2024</t>
        </is>
      </c>
      <c r="B1776" s="1" t="n">
        <v>45618</v>
      </c>
      <c r="C1776" s="1" t="n">
        <v>45831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54778-2024</t>
        </is>
      </c>
      <c r="B1777" s="1" t="n">
        <v>45618</v>
      </c>
      <c r="C1777" s="1" t="n">
        <v>45831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54811-2024</t>
        </is>
      </c>
      <c r="B1778" s="1" t="n">
        <v>45618</v>
      </c>
      <c r="C1778" s="1" t="n">
        <v>45831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54812-2024</t>
        </is>
      </c>
      <c r="B1779" s="1" t="n">
        <v>45618</v>
      </c>
      <c r="C1779" s="1" t="n">
        <v>45831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Sveaskog</t>
        </is>
      </c>
      <c r="G1779" t="n">
        <v>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54809-2024</t>
        </is>
      </c>
      <c r="B1780" s="1" t="n">
        <v>45618</v>
      </c>
      <c r="C1780" s="1" t="n">
        <v>45831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54757-2024</t>
        </is>
      </c>
      <c r="B1781" s="1" t="n">
        <v>45618</v>
      </c>
      <c r="C1781" s="1" t="n">
        <v>45831</v>
      </c>
      <c r="D1781" t="inlineStr">
        <is>
          <t>VÄSTERBOTTENS LÄN</t>
        </is>
      </c>
      <c r="E1781" t="inlineStr">
        <is>
          <t>LYCKSELE</t>
        </is>
      </c>
      <c r="G1781" t="n">
        <v>12.8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54680-2024</t>
        </is>
      </c>
      <c r="B1782" s="1" t="n">
        <v>45618</v>
      </c>
      <c r="C1782" s="1" t="n">
        <v>45831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55250-2024</t>
        </is>
      </c>
      <c r="B1783" s="1" t="n">
        <v>45621</v>
      </c>
      <c r="C1783" s="1" t="n">
        <v>45831</v>
      </c>
      <c r="D1783" t="inlineStr">
        <is>
          <t>VÄSTERBOTTENS LÄN</t>
        </is>
      </c>
      <c r="E1783" t="inlineStr">
        <is>
          <t>LYCKSELE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55203-2024</t>
        </is>
      </c>
      <c r="B1784" s="1" t="n">
        <v>45621</v>
      </c>
      <c r="C1784" s="1" t="n">
        <v>45831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3.2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55333-2024</t>
        </is>
      </c>
      <c r="B1785" s="1" t="n">
        <v>45621</v>
      </c>
      <c r="C1785" s="1" t="n">
        <v>45831</v>
      </c>
      <c r="D1785" t="inlineStr">
        <is>
          <t>VÄSTERBOTTENS LÄN</t>
        </is>
      </c>
      <c r="E1785" t="inlineStr">
        <is>
          <t>LYCKSELE</t>
        </is>
      </c>
      <c r="G1785" t="n">
        <v>8.6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55278-2024</t>
        </is>
      </c>
      <c r="B1786" s="1" t="n">
        <v>45621</v>
      </c>
      <c r="C1786" s="1" t="n">
        <v>45831</v>
      </c>
      <c r="D1786" t="inlineStr">
        <is>
          <t>VÄSTERBOTTENS LÄN</t>
        </is>
      </c>
      <c r="E1786" t="inlineStr">
        <is>
          <t>LYCKSELE</t>
        </is>
      </c>
      <c r="G1786" t="n">
        <v>6.9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55315-2024</t>
        </is>
      </c>
      <c r="B1787" s="1" t="n">
        <v>45621</v>
      </c>
      <c r="C1787" s="1" t="n">
        <v>45831</v>
      </c>
      <c r="D1787" t="inlineStr">
        <is>
          <t>VÄSTERBOTTENS LÄN</t>
        </is>
      </c>
      <c r="E1787" t="inlineStr">
        <is>
          <t>LYCKSELE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55354-2024</t>
        </is>
      </c>
      <c r="B1788" s="1" t="n">
        <v>45621</v>
      </c>
      <c r="C1788" s="1" t="n">
        <v>45831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34.6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55104-2024</t>
        </is>
      </c>
      <c r="B1789" s="1" t="n">
        <v>45621</v>
      </c>
      <c r="C1789" s="1" t="n">
        <v>45831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Sveaskog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55087-2024</t>
        </is>
      </c>
      <c r="B1790" s="1" t="n">
        <v>45621</v>
      </c>
      <c r="C1790" s="1" t="n">
        <v>45831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5.2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55249-2024</t>
        </is>
      </c>
      <c r="B1791" s="1" t="n">
        <v>45621</v>
      </c>
      <c r="C1791" s="1" t="n">
        <v>45831</v>
      </c>
      <c r="D1791" t="inlineStr">
        <is>
          <t>VÄSTERBOTTENS LÄN</t>
        </is>
      </c>
      <c r="E1791" t="inlineStr">
        <is>
          <t>LYCKSELE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56126-2024</t>
        </is>
      </c>
      <c r="B1792" s="1" t="n">
        <v>45624</v>
      </c>
      <c r="C1792" s="1" t="n">
        <v>45831</v>
      </c>
      <c r="D1792" t="inlineStr">
        <is>
          <t>VÄSTERBOTTENS LÄN</t>
        </is>
      </c>
      <c r="E1792" t="inlineStr">
        <is>
          <t>LYCKSELE</t>
        </is>
      </c>
      <c r="G1792" t="n">
        <v>19.5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56123-2024</t>
        </is>
      </c>
      <c r="B1793" s="1" t="n">
        <v>45624</v>
      </c>
      <c r="C1793" s="1" t="n">
        <v>45831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SCA</t>
        </is>
      </c>
      <c r="G1793" t="n">
        <v>14.7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56605-2024</t>
        </is>
      </c>
      <c r="B1794" s="1" t="n">
        <v>45625</v>
      </c>
      <c r="C1794" s="1" t="n">
        <v>45831</v>
      </c>
      <c r="D1794" t="inlineStr">
        <is>
          <t>VÄSTERBOTTENS LÄN</t>
        </is>
      </c>
      <c r="E1794" t="inlineStr">
        <is>
          <t>LYCKSELE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56603-2024</t>
        </is>
      </c>
      <c r="B1795" s="1" t="n">
        <v>45625</v>
      </c>
      <c r="C1795" s="1" t="n">
        <v>45831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Holmen skog AB</t>
        </is>
      </c>
      <c r="G1795" t="n">
        <v>17.1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56690-2024</t>
        </is>
      </c>
      <c r="B1796" s="1" t="n">
        <v>45627</v>
      </c>
      <c r="C1796" s="1" t="n">
        <v>45831</v>
      </c>
      <c r="D1796" t="inlineStr">
        <is>
          <t>VÄSTERBOTTENS LÄN</t>
        </is>
      </c>
      <c r="E1796" t="inlineStr">
        <is>
          <t>LYCKSELE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56726-2024</t>
        </is>
      </c>
      <c r="B1797" s="1" t="n">
        <v>45628</v>
      </c>
      <c r="C1797" s="1" t="n">
        <v>45831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57108-2024</t>
        </is>
      </c>
      <c r="B1798" s="1" t="n">
        <v>45629</v>
      </c>
      <c r="C1798" s="1" t="n">
        <v>45831</v>
      </c>
      <c r="D1798" t="inlineStr">
        <is>
          <t>VÄSTERBOTTENS LÄN</t>
        </is>
      </c>
      <c r="E1798" t="inlineStr">
        <is>
          <t>LYCKSELE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57084-2024</t>
        </is>
      </c>
      <c r="B1799" s="1" t="n">
        <v>45629</v>
      </c>
      <c r="C1799" s="1" t="n">
        <v>45831</v>
      </c>
      <c r="D1799" t="inlineStr">
        <is>
          <t>VÄSTERBOTTENS LÄN</t>
        </is>
      </c>
      <c r="E1799" t="inlineStr">
        <is>
          <t>LYCKSELE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57087-2024</t>
        </is>
      </c>
      <c r="B1800" s="1" t="n">
        <v>45629</v>
      </c>
      <c r="C1800" s="1" t="n">
        <v>45831</v>
      </c>
      <c r="D1800" t="inlineStr">
        <is>
          <t>VÄSTERBOTTENS LÄN</t>
        </is>
      </c>
      <c r="E1800" t="inlineStr">
        <is>
          <t>LYCKSELE</t>
        </is>
      </c>
      <c r="F1800" t="inlineStr">
        <is>
          <t>SCA</t>
        </is>
      </c>
      <c r="G1800" t="n">
        <v>20.8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57109-2024</t>
        </is>
      </c>
      <c r="B1801" s="1" t="n">
        <v>45629</v>
      </c>
      <c r="C1801" s="1" t="n">
        <v>45831</v>
      </c>
      <c r="D1801" t="inlineStr">
        <is>
          <t>VÄSTERBOTTENS LÄN</t>
        </is>
      </c>
      <c r="E1801" t="inlineStr">
        <is>
          <t>LYCKSELE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57246-2024</t>
        </is>
      </c>
      <c r="B1802" s="1" t="n">
        <v>45629</v>
      </c>
      <c r="C1802" s="1" t="n">
        <v>45831</v>
      </c>
      <c r="D1802" t="inlineStr">
        <is>
          <t>VÄSTERBOTTENS LÄN</t>
        </is>
      </c>
      <c r="E1802" t="inlineStr">
        <is>
          <t>LYCKSELE</t>
        </is>
      </c>
      <c r="F1802" t="inlineStr">
        <is>
          <t>Sveaskog</t>
        </is>
      </c>
      <c r="G1802" t="n">
        <v>6.3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57263-2024</t>
        </is>
      </c>
      <c r="B1803" s="1" t="n">
        <v>45629</v>
      </c>
      <c r="C1803" s="1" t="n">
        <v>45831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Sveaskog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57350-2024</t>
        </is>
      </c>
      <c r="B1804" s="1" t="n">
        <v>45629</v>
      </c>
      <c r="C1804" s="1" t="n">
        <v>45831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Sveaskog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57471-2024</t>
        </is>
      </c>
      <c r="B1805" s="1" t="n">
        <v>45630</v>
      </c>
      <c r="C1805" s="1" t="n">
        <v>45831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SCA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57563-2024</t>
        </is>
      </c>
      <c r="B1806" s="1" t="n">
        <v>45630</v>
      </c>
      <c r="C1806" s="1" t="n">
        <v>45831</v>
      </c>
      <c r="D1806" t="inlineStr">
        <is>
          <t>VÄSTERBOTTENS LÄN</t>
        </is>
      </c>
      <c r="E1806" t="inlineStr">
        <is>
          <t>LYCKSELE</t>
        </is>
      </c>
      <c r="F1806" t="inlineStr">
        <is>
          <t>Sveaskog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57857-2024</t>
        </is>
      </c>
      <c r="B1807" s="1" t="n">
        <v>45631</v>
      </c>
      <c r="C1807" s="1" t="n">
        <v>45831</v>
      </c>
      <c r="D1807" t="inlineStr">
        <is>
          <t>VÄSTERBOTTENS LÄN</t>
        </is>
      </c>
      <c r="E1807" t="inlineStr">
        <is>
          <t>LYCKSELE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58356-2024</t>
        </is>
      </c>
      <c r="B1808" s="1" t="n">
        <v>45632</v>
      </c>
      <c r="C1808" s="1" t="n">
        <v>45831</v>
      </c>
      <c r="D1808" t="inlineStr">
        <is>
          <t>VÄSTERBOTTENS LÄN</t>
        </is>
      </c>
      <c r="E1808" t="inlineStr">
        <is>
          <t>LYCKSELE</t>
        </is>
      </c>
      <c r="F1808" t="inlineStr">
        <is>
          <t>SCA</t>
        </is>
      </c>
      <c r="G1808" t="n">
        <v>10.4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58714-2024</t>
        </is>
      </c>
      <c r="B1809" s="1" t="n">
        <v>45635</v>
      </c>
      <c r="C1809" s="1" t="n">
        <v>45831</v>
      </c>
      <c r="D1809" t="inlineStr">
        <is>
          <t>VÄSTERBOTTENS LÄN</t>
        </is>
      </c>
      <c r="E1809" t="inlineStr">
        <is>
          <t>LYCKSELE</t>
        </is>
      </c>
      <c r="G1809" t="n">
        <v>25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58684-2024</t>
        </is>
      </c>
      <c r="B1810" s="1" t="n">
        <v>45635</v>
      </c>
      <c r="C1810" s="1" t="n">
        <v>45831</v>
      </c>
      <c r="D1810" t="inlineStr">
        <is>
          <t>VÄSTERBOTTENS LÄN</t>
        </is>
      </c>
      <c r="E1810" t="inlineStr">
        <is>
          <t>LYCKSELE</t>
        </is>
      </c>
      <c r="F1810" t="inlineStr">
        <is>
          <t>Sveaskog</t>
        </is>
      </c>
      <c r="G1810" t="n">
        <v>4.5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58534-2024</t>
        </is>
      </c>
      <c r="B1811" s="1" t="n">
        <v>45635</v>
      </c>
      <c r="C1811" s="1" t="n">
        <v>45831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Holmen skog AB</t>
        </is>
      </c>
      <c r="G1811" t="n">
        <v>4.1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58716-2024</t>
        </is>
      </c>
      <c r="B1812" s="1" t="n">
        <v>45635</v>
      </c>
      <c r="C1812" s="1" t="n">
        <v>45831</v>
      </c>
      <c r="D1812" t="inlineStr">
        <is>
          <t>VÄSTERBOTTENS LÄN</t>
        </is>
      </c>
      <c r="E1812" t="inlineStr">
        <is>
          <t>LYCKSELE</t>
        </is>
      </c>
      <c r="F1812" t="inlineStr">
        <is>
          <t>Holmen skog AB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59270-2024</t>
        </is>
      </c>
      <c r="B1813" s="1" t="n">
        <v>45637</v>
      </c>
      <c r="C1813" s="1" t="n">
        <v>45831</v>
      </c>
      <c r="D1813" t="inlineStr">
        <is>
          <t>VÄSTERBOTTENS LÄN</t>
        </is>
      </c>
      <c r="E1813" t="inlineStr">
        <is>
          <t>LYCKSELE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59174-2024</t>
        </is>
      </c>
      <c r="B1814" s="1" t="n">
        <v>45637</v>
      </c>
      <c r="C1814" s="1" t="n">
        <v>45831</v>
      </c>
      <c r="D1814" t="inlineStr">
        <is>
          <t>VÄSTERBOTTENS LÄN</t>
        </is>
      </c>
      <c r="E1814" t="inlineStr">
        <is>
          <t>LYCKSELE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59168-2024</t>
        </is>
      </c>
      <c r="B1815" s="1" t="n">
        <v>45637</v>
      </c>
      <c r="C1815" s="1" t="n">
        <v>45831</v>
      </c>
      <c r="D1815" t="inlineStr">
        <is>
          <t>VÄSTERBOTTENS LÄN</t>
        </is>
      </c>
      <c r="E1815" t="inlineStr">
        <is>
          <t>LYCKSELE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59209-2024</t>
        </is>
      </c>
      <c r="B1816" s="1" t="n">
        <v>45637</v>
      </c>
      <c r="C1816" s="1" t="n">
        <v>45831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Sveaskog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59565-2024</t>
        </is>
      </c>
      <c r="B1817" s="1" t="n">
        <v>45638</v>
      </c>
      <c r="C1817" s="1" t="n">
        <v>45831</v>
      </c>
      <c r="D1817" t="inlineStr">
        <is>
          <t>VÄSTERBOTTENS LÄN</t>
        </is>
      </c>
      <c r="E1817" t="inlineStr">
        <is>
          <t>LYCKSELE</t>
        </is>
      </c>
      <c r="F1817" t="inlineStr">
        <is>
          <t>SCA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59569-2024</t>
        </is>
      </c>
      <c r="B1818" s="1" t="n">
        <v>45638</v>
      </c>
      <c r="C1818" s="1" t="n">
        <v>45831</v>
      </c>
      <c r="D1818" t="inlineStr">
        <is>
          <t>VÄSTERBOTTENS LÄN</t>
        </is>
      </c>
      <c r="E1818" t="inlineStr">
        <is>
          <t>LYCKSELE</t>
        </is>
      </c>
      <c r="F1818" t="inlineStr">
        <is>
          <t>Holmen skog AB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59376-2024</t>
        </is>
      </c>
      <c r="B1819" s="1" t="n">
        <v>45638</v>
      </c>
      <c r="C1819" s="1" t="n">
        <v>45831</v>
      </c>
      <c r="D1819" t="inlineStr">
        <is>
          <t>VÄSTERBOTTENS LÄN</t>
        </is>
      </c>
      <c r="E1819" t="inlineStr">
        <is>
          <t>LYCKSELE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60067-2024</t>
        </is>
      </c>
      <c r="B1820" s="1" t="n">
        <v>45642</v>
      </c>
      <c r="C1820" s="1" t="n">
        <v>45831</v>
      </c>
      <c r="D1820" t="inlineStr">
        <is>
          <t>VÄSTERBOTTENS LÄN</t>
        </is>
      </c>
      <c r="E1820" t="inlineStr">
        <is>
          <t>LYCKSELE</t>
        </is>
      </c>
      <c r="F1820" t="inlineStr">
        <is>
          <t>Sveaskog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60482-2024</t>
        </is>
      </c>
      <c r="B1821" s="1" t="n">
        <v>45643</v>
      </c>
      <c r="C1821" s="1" t="n">
        <v>45831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7.8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60542-2024</t>
        </is>
      </c>
      <c r="B1822" s="1" t="n">
        <v>45643</v>
      </c>
      <c r="C1822" s="1" t="n">
        <v>45831</v>
      </c>
      <c r="D1822" t="inlineStr">
        <is>
          <t>VÄSTERBOTTENS LÄN</t>
        </is>
      </c>
      <c r="E1822" t="inlineStr">
        <is>
          <t>LYCKSELE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61161-2024</t>
        </is>
      </c>
      <c r="B1823" s="1" t="n">
        <v>45645</v>
      </c>
      <c r="C1823" s="1" t="n">
        <v>45831</v>
      </c>
      <c r="D1823" t="inlineStr">
        <is>
          <t>VÄSTERBOTTENS LÄN</t>
        </is>
      </c>
      <c r="E1823" t="inlineStr">
        <is>
          <t>LYCKSELE</t>
        </is>
      </c>
      <c r="F1823" t="inlineStr">
        <is>
          <t>SCA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61366-2024</t>
        </is>
      </c>
      <c r="B1824" s="1" t="n">
        <v>45646</v>
      </c>
      <c r="C1824" s="1" t="n">
        <v>45831</v>
      </c>
      <c r="D1824" t="inlineStr">
        <is>
          <t>VÄSTERBOTTENS LÄN</t>
        </is>
      </c>
      <c r="E1824" t="inlineStr">
        <is>
          <t>LYCKSELE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61562-2024</t>
        </is>
      </c>
      <c r="B1825" s="1" t="n">
        <v>45646</v>
      </c>
      <c r="C1825" s="1" t="n">
        <v>45831</v>
      </c>
      <c r="D1825" t="inlineStr">
        <is>
          <t>VÄSTERBOTTENS LÄN</t>
        </is>
      </c>
      <c r="E1825" t="inlineStr">
        <is>
          <t>LYCKSELE</t>
        </is>
      </c>
      <c r="G1825" t="n">
        <v>6.8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61382-2024</t>
        </is>
      </c>
      <c r="B1826" s="1" t="n">
        <v>45646</v>
      </c>
      <c r="C1826" s="1" t="n">
        <v>45831</v>
      </c>
      <c r="D1826" t="inlineStr">
        <is>
          <t>VÄSTERBOTTENS LÄN</t>
        </is>
      </c>
      <c r="E1826" t="inlineStr">
        <is>
          <t>LYCKSELE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61367-2024</t>
        </is>
      </c>
      <c r="B1827" s="1" t="n">
        <v>45646</v>
      </c>
      <c r="C1827" s="1" t="n">
        <v>45831</v>
      </c>
      <c r="D1827" t="inlineStr">
        <is>
          <t>VÄSTERBOTTENS LÄN</t>
        </is>
      </c>
      <c r="E1827" t="inlineStr">
        <is>
          <t>LYCKSELE</t>
        </is>
      </c>
      <c r="G1827" t="n">
        <v>10.4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61401-2024</t>
        </is>
      </c>
      <c r="B1828" s="1" t="n">
        <v>45646</v>
      </c>
      <c r="C1828" s="1" t="n">
        <v>45831</v>
      </c>
      <c r="D1828" t="inlineStr">
        <is>
          <t>VÄSTERBOTTENS LÄN</t>
        </is>
      </c>
      <c r="E1828" t="inlineStr">
        <is>
          <t>LYCKSELE</t>
        </is>
      </c>
      <c r="G1828" t="n">
        <v>5.7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61899-2024</t>
        </is>
      </c>
      <c r="B1829" s="1" t="n">
        <v>45652</v>
      </c>
      <c r="C1829" s="1" t="n">
        <v>45831</v>
      </c>
      <c r="D1829" t="inlineStr">
        <is>
          <t>VÄSTERBOTTENS LÄN</t>
        </is>
      </c>
      <c r="E1829" t="inlineStr">
        <is>
          <t>LYCKSELE</t>
        </is>
      </c>
      <c r="G1829" t="n">
        <v>8.699999999999999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61895-2024</t>
        </is>
      </c>
      <c r="B1830" s="1" t="n">
        <v>45652</v>
      </c>
      <c r="C1830" s="1" t="n">
        <v>45831</v>
      </c>
      <c r="D1830" t="inlineStr">
        <is>
          <t>VÄSTERBOTTENS LÄN</t>
        </is>
      </c>
      <c r="E1830" t="inlineStr">
        <is>
          <t>LYCKSELE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61891-2024</t>
        </is>
      </c>
      <c r="B1831" s="1" t="n">
        <v>45652</v>
      </c>
      <c r="C1831" s="1" t="n">
        <v>45831</v>
      </c>
      <c r="D1831" t="inlineStr">
        <is>
          <t>VÄSTERBOTTENS LÄN</t>
        </is>
      </c>
      <c r="E1831" t="inlineStr">
        <is>
          <t>LYCKSELE</t>
        </is>
      </c>
      <c r="G1831" t="n">
        <v>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61887-2024</t>
        </is>
      </c>
      <c r="B1832" s="1" t="n">
        <v>45652</v>
      </c>
      <c r="C1832" s="1" t="n">
        <v>45831</v>
      </c>
      <c r="D1832" t="inlineStr">
        <is>
          <t>VÄSTERBOTTENS LÄN</t>
        </is>
      </c>
      <c r="E1832" t="inlineStr">
        <is>
          <t>LYCKSELE</t>
        </is>
      </c>
      <c r="G1832" t="n">
        <v>7.1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61883-2024</t>
        </is>
      </c>
      <c r="B1833" s="1" t="n">
        <v>45652</v>
      </c>
      <c r="C1833" s="1" t="n">
        <v>45831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Holmen skog AB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61898-2024</t>
        </is>
      </c>
      <c r="B1834" s="1" t="n">
        <v>45652</v>
      </c>
      <c r="C1834" s="1" t="n">
        <v>45831</v>
      </c>
      <c r="D1834" t="inlineStr">
        <is>
          <t>VÄSTERBOTTENS LÄN</t>
        </is>
      </c>
      <c r="E1834" t="inlineStr">
        <is>
          <t>LYCKSELE</t>
        </is>
      </c>
      <c r="G1834" t="n">
        <v>9.300000000000001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61890-2024</t>
        </is>
      </c>
      <c r="B1835" s="1" t="n">
        <v>45652</v>
      </c>
      <c r="C1835" s="1" t="n">
        <v>45831</v>
      </c>
      <c r="D1835" t="inlineStr">
        <is>
          <t>VÄSTERBOTTENS LÄN</t>
        </is>
      </c>
      <c r="E1835" t="inlineStr">
        <is>
          <t>LYCKSELE</t>
        </is>
      </c>
      <c r="G1835" t="n">
        <v>14.2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61893-2024</t>
        </is>
      </c>
      <c r="B1836" s="1" t="n">
        <v>45652</v>
      </c>
      <c r="C1836" s="1" t="n">
        <v>45831</v>
      </c>
      <c r="D1836" t="inlineStr">
        <is>
          <t>VÄSTERBOTTENS LÄN</t>
        </is>
      </c>
      <c r="E1836" t="inlineStr">
        <is>
          <t>LYCKSELE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61889-2024</t>
        </is>
      </c>
      <c r="B1837" s="1" t="n">
        <v>45652</v>
      </c>
      <c r="C1837" s="1" t="n">
        <v>45831</v>
      </c>
      <c r="D1837" t="inlineStr">
        <is>
          <t>VÄSTERBOTTENS LÄN</t>
        </is>
      </c>
      <c r="E1837" t="inlineStr">
        <is>
          <t>LYCKSELE</t>
        </is>
      </c>
      <c r="G1837" t="n">
        <v>10.9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61892-2024</t>
        </is>
      </c>
      <c r="B1838" s="1" t="n">
        <v>45652</v>
      </c>
      <c r="C1838" s="1" t="n">
        <v>45831</v>
      </c>
      <c r="D1838" t="inlineStr">
        <is>
          <t>VÄSTERBOTTENS LÄN</t>
        </is>
      </c>
      <c r="E1838" t="inlineStr">
        <is>
          <t>LYCKSELE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61888-2024</t>
        </is>
      </c>
      <c r="B1839" s="1" t="n">
        <v>45652</v>
      </c>
      <c r="C1839" s="1" t="n">
        <v>45831</v>
      </c>
      <c r="D1839" t="inlineStr">
        <is>
          <t>VÄSTERBOTTENS LÄN</t>
        </is>
      </c>
      <c r="E1839" t="inlineStr">
        <is>
          <t>LYCKSELE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62164-2024</t>
        </is>
      </c>
      <c r="B1840" s="1" t="n">
        <v>45657</v>
      </c>
      <c r="C1840" s="1" t="n">
        <v>45831</v>
      </c>
      <c r="D1840" t="inlineStr">
        <is>
          <t>VÄSTERBOTTENS LÄN</t>
        </is>
      </c>
      <c r="E1840" t="inlineStr">
        <is>
          <t>LYCKSELE</t>
        </is>
      </c>
      <c r="G1840" t="n">
        <v>6.9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62163-2024</t>
        </is>
      </c>
      <c r="B1841" s="1" t="n">
        <v>45657</v>
      </c>
      <c r="C1841" s="1" t="n">
        <v>45831</v>
      </c>
      <c r="D1841" t="inlineStr">
        <is>
          <t>VÄSTERBOTTENS LÄN</t>
        </is>
      </c>
      <c r="E1841" t="inlineStr">
        <is>
          <t>LYCKSELE</t>
        </is>
      </c>
      <c r="G1841" t="n">
        <v>4.6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395-2025</t>
        </is>
      </c>
      <c r="B1842" s="1" t="n">
        <v>45663</v>
      </c>
      <c r="C1842" s="1" t="n">
        <v>45831</v>
      </c>
      <c r="D1842" t="inlineStr">
        <is>
          <t>VÄSTERBOTTENS LÄN</t>
        </is>
      </c>
      <c r="E1842" t="inlineStr">
        <is>
          <t>LYCKSELE</t>
        </is>
      </c>
      <c r="G1842" t="n">
        <v>12.9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396-2025</t>
        </is>
      </c>
      <c r="B1843" s="1" t="n">
        <v>45663</v>
      </c>
      <c r="C1843" s="1" t="n">
        <v>45831</v>
      </c>
      <c r="D1843" t="inlineStr">
        <is>
          <t>VÄSTERBOTTENS LÄN</t>
        </is>
      </c>
      <c r="E1843" t="inlineStr">
        <is>
          <t>LYCKSELE</t>
        </is>
      </c>
      <c r="G1843" t="n">
        <v>5.5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886-2025</t>
        </is>
      </c>
      <c r="B1844" s="1" t="n">
        <v>45665</v>
      </c>
      <c r="C1844" s="1" t="n">
        <v>45831</v>
      </c>
      <c r="D1844" t="inlineStr">
        <is>
          <t>VÄSTERBOTTENS LÄN</t>
        </is>
      </c>
      <c r="E1844" t="inlineStr">
        <is>
          <t>LYCKSELE</t>
        </is>
      </c>
      <c r="F1844" t="inlineStr">
        <is>
          <t>Naturvårdsverket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987-2025</t>
        </is>
      </c>
      <c r="B1845" s="1" t="n">
        <v>45666</v>
      </c>
      <c r="C1845" s="1" t="n">
        <v>45831</v>
      </c>
      <c r="D1845" t="inlineStr">
        <is>
          <t>VÄSTERBOTTENS LÄN</t>
        </is>
      </c>
      <c r="E1845" t="inlineStr">
        <is>
          <t>LYCKSELE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2162-2025</t>
        </is>
      </c>
      <c r="B1846" s="1" t="n">
        <v>45672</v>
      </c>
      <c r="C1846" s="1" t="n">
        <v>45831</v>
      </c>
      <c r="D1846" t="inlineStr">
        <is>
          <t>VÄSTERBOTTENS LÄN</t>
        </is>
      </c>
      <c r="E1846" t="inlineStr">
        <is>
          <t>LYCKSELE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2109-2025</t>
        </is>
      </c>
      <c r="B1847" s="1" t="n">
        <v>45672</v>
      </c>
      <c r="C1847" s="1" t="n">
        <v>45831</v>
      </c>
      <c r="D1847" t="inlineStr">
        <is>
          <t>VÄSTERBOTTENS LÄN</t>
        </is>
      </c>
      <c r="E1847" t="inlineStr">
        <is>
          <t>LYCKSELE</t>
        </is>
      </c>
      <c r="G1847" t="n">
        <v>5.6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2352-2025</t>
        </is>
      </c>
      <c r="B1848" s="1" t="n">
        <v>45673</v>
      </c>
      <c r="C1848" s="1" t="n">
        <v>45831</v>
      </c>
      <c r="D1848" t="inlineStr">
        <is>
          <t>VÄSTERBOTTENS LÄN</t>
        </is>
      </c>
      <c r="E1848" t="inlineStr">
        <is>
          <t>LYCKSELE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2323-2025</t>
        </is>
      </c>
      <c r="B1849" s="1" t="n">
        <v>45673</v>
      </c>
      <c r="C1849" s="1" t="n">
        <v>45831</v>
      </c>
      <c r="D1849" t="inlineStr">
        <is>
          <t>VÄSTERBOTTENS LÄN</t>
        </is>
      </c>
      <c r="E1849" t="inlineStr">
        <is>
          <t>LYCKSELE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2794-2025</t>
        </is>
      </c>
      <c r="B1850" s="1" t="n">
        <v>45677</v>
      </c>
      <c r="C1850" s="1" t="n">
        <v>45831</v>
      </c>
      <c r="D1850" t="inlineStr">
        <is>
          <t>VÄSTERBOTTENS LÄN</t>
        </is>
      </c>
      <c r="E1850" t="inlineStr">
        <is>
          <t>LYCKSELE</t>
        </is>
      </c>
      <c r="F1850" t="inlineStr">
        <is>
          <t>Sveaskog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2761-2025</t>
        </is>
      </c>
      <c r="B1851" s="1" t="n">
        <v>45677</v>
      </c>
      <c r="C1851" s="1" t="n">
        <v>45831</v>
      </c>
      <c r="D1851" t="inlineStr">
        <is>
          <t>VÄSTERBOTTENS LÄN</t>
        </is>
      </c>
      <c r="E1851" t="inlineStr">
        <is>
          <t>LYCKSELE</t>
        </is>
      </c>
      <c r="G1851" t="n">
        <v>7.8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3401-2025</t>
        </is>
      </c>
      <c r="B1852" s="1" t="n">
        <v>45680</v>
      </c>
      <c r="C1852" s="1" t="n">
        <v>45831</v>
      </c>
      <c r="D1852" t="inlineStr">
        <is>
          <t>VÄSTERBOTTENS LÄN</t>
        </is>
      </c>
      <c r="E1852" t="inlineStr">
        <is>
          <t>LYCKSELE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3791-2025</t>
        </is>
      </c>
      <c r="B1853" s="1" t="n">
        <v>45681</v>
      </c>
      <c r="C1853" s="1" t="n">
        <v>45831</v>
      </c>
      <c r="D1853" t="inlineStr">
        <is>
          <t>VÄSTERBOTTENS LÄN</t>
        </is>
      </c>
      <c r="E1853" t="inlineStr">
        <is>
          <t>LYCKSELE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4215-2025</t>
        </is>
      </c>
      <c r="B1854" s="1" t="n">
        <v>45685</v>
      </c>
      <c r="C1854" s="1" t="n">
        <v>45831</v>
      </c>
      <c r="D1854" t="inlineStr">
        <is>
          <t>VÄSTERBOTTENS LÄN</t>
        </is>
      </c>
      <c r="E1854" t="inlineStr">
        <is>
          <t>LYCKSELE</t>
        </is>
      </c>
      <c r="F1854" t="inlineStr">
        <is>
          <t>Sveaskog</t>
        </is>
      </c>
      <c r="G1854" t="n">
        <v>4.8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4576-2025</t>
        </is>
      </c>
      <c r="B1855" s="1" t="n">
        <v>45687</v>
      </c>
      <c r="C1855" s="1" t="n">
        <v>45831</v>
      </c>
      <c r="D1855" t="inlineStr">
        <is>
          <t>VÄSTERBOTTENS LÄN</t>
        </is>
      </c>
      <c r="E1855" t="inlineStr">
        <is>
          <t>LYCKSELE</t>
        </is>
      </c>
      <c r="G1855" t="n">
        <v>4.8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4670-2025</t>
        </is>
      </c>
      <c r="B1856" s="1" t="n">
        <v>45687</v>
      </c>
      <c r="C1856" s="1" t="n">
        <v>45831</v>
      </c>
      <c r="D1856" t="inlineStr">
        <is>
          <t>VÄSTERBOTTENS LÄN</t>
        </is>
      </c>
      <c r="E1856" t="inlineStr">
        <is>
          <t>LYCKSELE</t>
        </is>
      </c>
      <c r="G1856" t="n">
        <v>15.5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4671-2025</t>
        </is>
      </c>
      <c r="B1857" s="1" t="n">
        <v>45687</v>
      </c>
      <c r="C1857" s="1" t="n">
        <v>45831</v>
      </c>
      <c r="D1857" t="inlineStr">
        <is>
          <t>VÄSTERBOTTENS LÄN</t>
        </is>
      </c>
      <c r="E1857" t="inlineStr">
        <is>
          <t>LYCKSELE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4858-2025</t>
        </is>
      </c>
      <c r="B1858" s="1" t="n">
        <v>45688</v>
      </c>
      <c r="C1858" s="1" t="n">
        <v>45831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SCA</t>
        </is>
      </c>
      <c r="G1858" t="n">
        <v>4.9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4886-2025</t>
        </is>
      </c>
      <c r="B1859" s="1" t="n">
        <v>45688</v>
      </c>
      <c r="C1859" s="1" t="n">
        <v>45831</v>
      </c>
      <c r="D1859" t="inlineStr">
        <is>
          <t>VÄSTERBOTTENS LÄN</t>
        </is>
      </c>
      <c r="E1859" t="inlineStr">
        <is>
          <t>LYCKSELE</t>
        </is>
      </c>
      <c r="F1859" t="inlineStr">
        <is>
          <t>SCA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5039-2025</t>
        </is>
      </c>
      <c r="B1860" s="1" t="n">
        <v>45691</v>
      </c>
      <c r="C1860" s="1" t="n">
        <v>45831</v>
      </c>
      <c r="D1860" t="inlineStr">
        <is>
          <t>VÄSTERBOTTENS LÄN</t>
        </is>
      </c>
      <c r="E1860" t="inlineStr">
        <is>
          <t>LYCKSELE</t>
        </is>
      </c>
      <c r="G1860" t="n">
        <v>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5687-2025</t>
        </is>
      </c>
      <c r="B1861" s="1" t="n">
        <v>45694</v>
      </c>
      <c r="C1861" s="1" t="n">
        <v>45831</v>
      </c>
      <c r="D1861" t="inlineStr">
        <is>
          <t>VÄSTERBOTTENS LÄN</t>
        </is>
      </c>
      <c r="E1861" t="inlineStr">
        <is>
          <t>LYCKSELE</t>
        </is>
      </c>
      <c r="G1861" t="n">
        <v>3.4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5856-2025</t>
        </is>
      </c>
      <c r="B1862" s="1" t="n">
        <v>45695</v>
      </c>
      <c r="C1862" s="1" t="n">
        <v>45831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5932-2025</t>
        </is>
      </c>
      <c r="B1863" s="1" t="n">
        <v>45695</v>
      </c>
      <c r="C1863" s="1" t="n">
        <v>45831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SCA</t>
        </is>
      </c>
      <c r="G1863" t="n">
        <v>14.2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6123-2025</t>
        </is>
      </c>
      <c r="B1864" s="1" t="n">
        <v>45698</v>
      </c>
      <c r="C1864" s="1" t="n">
        <v>45831</v>
      </c>
      <c r="D1864" t="inlineStr">
        <is>
          <t>VÄSTERBOTTENS LÄN</t>
        </is>
      </c>
      <c r="E1864" t="inlineStr">
        <is>
          <t>LYCKSELE</t>
        </is>
      </c>
      <c r="G1864" t="n">
        <v>10.5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6769-2025</t>
        </is>
      </c>
      <c r="B1865" s="1" t="n">
        <v>45700</v>
      </c>
      <c r="C1865" s="1" t="n">
        <v>45831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Sveaskog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6700-2025</t>
        </is>
      </c>
      <c r="B1866" s="1" t="n">
        <v>45700</v>
      </c>
      <c r="C1866" s="1" t="n">
        <v>45831</v>
      </c>
      <c r="D1866" t="inlineStr">
        <is>
          <t>VÄSTERBOTTENS LÄN</t>
        </is>
      </c>
      <c r="E1866" t="inlineStr">
        <is>
          <t>LYCKSELE</t>
        </is>
      </c>
      <c r="G1866" t="n">
        <v>18.1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6800-2025</t>
        </is>
      </c>
      <c r="B1867" s="1" t="n">
        <v>45700</v>
      </c>
      <c r="C1867" s="1" t="n">
        <v>45831</v>
      </c>
      <c r="D1867" t="inlineStr">
        <is>
          <t>VÄSTERBOTTENS LÄN</t>
        </is>
      </c>
      <c r="E1867" t="inlineStr">
        <is>
          <t>LYCKSELE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6942-2025</t>
        </is>
      </c>
      <c r="B1868" s="1" t="n">
        <v>45701</v>
      </c>
      <c r="C1868" s="1" t="n">
        <v>45831</v>
      </c>
      <c r="D1868" t="inlineStr">
        <is>
          <t>VÄSTERBOTTENS LÄN</t>
        </is>
      </c>
      <c r="E1868" t="inlineStr">
        <is>
          <t>LYCKSELE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6943-2025</t>
        </is>
      </c>
      <c r="B1869" s="1" t="n">
        <v>45701</v>
      </c>
      <c r="C1869" s="1" t="n">
        <v>45831</v>
      </c>
      <c r="D1869" t="inlineStr">
        <is>
          <t>VÄSTERBOTTENS LÄN</t>
        </is>
      </c>
      <c r="E1869" t="inlineStr">
        <is>
          <t>LYCKSELE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7499-2025</t>
        </is>
      </c>
      <c r="B1870" s="1" t="n">
        <v>45705</v>
      </c>
      <c r="C1870" s="1" t="n">
        <v>45831</v>
      </c>
      <c r="D1870" t="inlineStr">
        <is>
          <t>VÄSTERBOTTENS LÄN</t>
        </is>
      </c>
      <c r="E1870" t="inlineStr">
        <is>
          <t>LYCKSELE</t>
        </is>
      </c>
      <c r="G1870" t="n">
        <v>5.6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7623-2025</t>
        </is>
      </c>
      <c r="B1871" s="1" t="n">
        <v>45705</v>
      </c>
      <c r="C1871" s="1" t="n">
        <v>45831</v>
      </c>
      <c r="D1871" t="inlineStr">
        <is>
          <t>VÄSTERBOTTENS LÄN</t>
        </is>
      </c>
      <c r="E1871" t="inlineStr">
        <is>
          <t>LYCKSELE</t>
        </is>
      </c>
      <c r="G1871" t="n">
        <v>6.5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7398-2025</t>
        </is>
      </c>
      <c r="B1872" s="1" t="n">
        <v>45705</v>
      </c>
      <c r="C1872" s="1" t="n">
        <v>45831</v>
      </c>
      <c r="D1872" t="inlineStr">
        <is>
          <t>VÄSTERBOTTENS LÄN</t>
        </is>
      </c>
      <c r="E1872" t="inlineStr">
        <is>
          <t>LYCKSELE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7708-2025</t>
        </is>
      </c>
      <c r="B1873" s="1" t="n">
        <v>45706</v>
      </c>
      <c r="C1873" s="1" t="n">
        <v>45831</v>
      </c>
      <c r="D1873" t="inlineStr">
        <is>
          <t>VÄSTERBOTTENS LÄN</t>
        </is>
      </c>
      <c r="E1873" t="inlineStr">
        <is>
          <t>LYCKSELE</t>
        </is>
      </c>
      <c r="G1873" t="n">
        <v>5.8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8313-2025</t>
        </is>
      </c>
      <c r="B1874" s="1" t="n">
        <v>45708</v>
      </c>
      <c r="C1874" s="1" t="n">
        <v>45831</v>
      </c>
      <c r="D1874" t="inlineStr">
        <is>
          <t>VÄSTERBOTTENS LÄN</t>
        </is>
      </c>
      <c r="E1874" t="inlineStr">
        <is>
          <t>LYCKSELE</t>
        </is>
      </c>
      <c r="F1874" t="inlineStr">
        <is>
          <t>SCA</t>
        </is>
      </c>
      <c r="G1874" t="n">
        <v>4.6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8278-2025</t>
        </is>
      </c>
      <c r="B1875" s="1" t="n">
        <v>45708</v>
      </c>
      <c r="C1875" s="1" t="n">
        <v>45831</v>
      </c>
      <c r="D1875" t="inlineStr">
        <is>
          <t>VÄSTERBOTTENS LÄN</t>
        </is>
      </c>
      <c r="E1875" t="inlineStr">
        <is>
          <t>LYCKSELE</t>
        </is>
      </c>
      <c r="F1875" t="inlineStr">
        <is>
          <t>SCA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8596-2025</t>
        </is>
      </c>
      <c r="B1876" s="1" t="n">
        <v>45709</v>
      </c>
      <c r="C1876" s="1" t="n">
        <v>45831</v>
      </c>
      <c r="D1876" t="inlineStr">
        <is>
          <t>VÄSTERBOTTENS LÄN</t>
        </is>
      </c>
      <c r="E1876" t="inlineStr">
        <is>
          <t>LYCKSELE</t>
        </is>
      </c>
      <c r="G1876" t="n">
        <v>10.5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8600-2025</t>
        </is>
      </c>
      <c r="B1877" s="1" t="n">
        <v>45709</v>
      </c>
      <c r="C1877" s="1" t="n">
        <v>45831</v>
      </c>
      <c r="D1877" t="inlineStr">
        <is>
          <t>VÄSTERBOTTENS LÄN</t>
        </is>
      </c>
      <c r="E1877" t="inlineStr">
        <is>
          <t>LYCKSELE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8599-2025</t>
        </is>
      </c>
      <c r="B1878" s="1" t="n">
        <v>45709</v>
      </c>
      <c r="C1878" s="1" t="n">
        <v>45831</v>
      </c>
      <c r="D1878" t="inlineStr">
        <is>
          <t>VÄSTERBOTTENS LÄN</t>
        </is>
      </c>
      <c r="E1878" t="inlineStr">
        <is>
          <t>LYCKSELE</t>
        </is>
      </c>
      <c r="G1878" t="n">
        <v>15.5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8748-2025</t>
        </is>
      </c>
      <c r="B1879" s="1" t="n">
        <v>45712</v>
      </c>
      <c r="C1879" s="1" t="n">
        <v>45831</v>
      </c>
      <c r="D1879" t="inlineStr">
        <is>
          <t>VÄSTERBOTTENS LÄN</t>
        </is>
      </c>
      <c r="E1879" t="inlineStr">
        <is>
          <t>LYCKSELE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8864-2025</t>
        </is>
      </c>
      <c r="B1880" s="1" t="n">
        <v>45713</v>
      </c>
      <c r="C1880" s="1" t="n">
        <v>45831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SCA</t>
        </is>
      </c>
      <c r="G1880" t="n">
        <v>8.6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8915-2025</t>
        </is>
      </c>
      <c r="B1881" s="1" t="n">
        <v>45713</v>
      </c>
      <c r="C1881" s="1" t="n">
        <v>45831</v>
      </c>
      <c r="D1881" t="inlineStr">
        <is>
          <t>VÄSTERBOTTENS LÄN</t>
        </is>
      </c>
      <c r="E1881" t="inlineStr">
        <is>
          <t>LYCKSELE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8957-2025</t>
        </is>
      </c>
      <c r="B1882" s="1" t="n">
        <v>45713</v>
      </c>
      <c r="C1882" s="1" t="n">
        <v>45831</v>
      </c>
      <c r="D1882" t="inlineStr">
        <is>
          <t>VÄSTERBOTTENS LÄN</t>
        </is>
      </c>
      <c r="E1882" t="inlineStr">
        <is>
          <t>LYCKSELE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8992-2025</t>
        </is>
      </c>
      <c r="B1883" s="1" t="n">
        <v>45713</v>
      </c>
      <c r="C1883" s="1" t="n">
        <v>45831</v>
      </c>
      <c r="D1883" t="inlineStr">
        <is>
          <t>VÄSTERBOTTENS LÄN</t>
        </is>
      </c>
      <c r="E1883" t="inlineStr">
        <is>
          <t>LYCKSELE</t>
        </is>
      </c>
      <c r="G1883" t="n">
        <v>32.3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9019-2025</t>
        </is>
      </c>
      <c r="B1884" s="1" t="n">
        <v>45713</v>
      </c>
      <c r="C1884" s="1" t="n">
        <v>45831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SCA</t>
        </is>
      </c>
      <c r="G1884" t="n">
        <v>17.4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8941-2025</t>
        </is>
      </c>
      <c r="B1885" s="1" t="n">
        <v>45713</v>
      </c>
      <c r="C1885" s="1" t="n">
        <v>45831</v>
      </c>
      <c r="D1885" t="inlineStr">
        <is>
          <t>VÄSTERBOTTENS LÄN</t>
        </is>
      </c>
      <c r="E1885" t="inlineStr">
        <is>
          <t>LYCKSELE</t>
        </is>
      </c>
      <c r="G1885" t="n">
        <v>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9020-2025</t>
        </is>
      </c>
      <c r="B1886" s="1" t="n">
        <v>45713</v>
      </c>
      <c r="C1886" s="1" t="n">
        <v>45831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SCA</t>
        </is>
      </c>
      <c r="G1886" t="n">
        <v>7.5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9090-2025</t>
        </is>
      </c>
      <c r="B1887" s="1" t="n">
        <v>45713</v>
      </c>
      <c r="C1887" s="1" t="n">
        <v>45831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9517-2025</t>
        </is>
      </c>
      <c r="B1888" s="1" t="n">
        <v>45715</v>
      </c>
      <c r="C1888" s="1" t="n">
        <v>45831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SCA</t>
        </is>
      </c>
      <c r="G1888" t="n">
        <v>4.5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9590-2025</t>
        </is>
      </c>
      <c r="B1889" s="1" t="n">
        <v>45715</v>
      </c>
      <c r="C1889" s="1" t="n">
        <v>45831</v>
      </c>
      <c r="D1889" t="inlineStr">
        <is>
          <t>VÄSTERBOTTENS LÄN</t>
        </is>
      </c>
      <c r="E1889" t="inlineStr">
        <is>
          <t>LYCKSELE</t>
        </is>
      </c>
      <c r="G1889" t="n">
        <v>5.6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9551-2025</t>
        </is>
      </c>
      <c r="B1890" s="1" t="n">
        <v>45715</v>
      </c>
      <c r="C1890" s="1" t="n">
        <v>45831</v>
      </c>
      <c r="D1890" t="inlineStr">
        <is>
          <t>VÄSTERBOTTENS LÄN</t>
        </is>
      </c>
      <c r="E1890" t="inlineStr">
        <is>
          <t>LYCKSELE</t>
        </is>
      </c>
      <c r="F1890" t="inlineStr">
        <is>
          <t>SCA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9550-2025</t>
        </is>
      </c>
      <c r="B1891" s="1" t="n">
        <v>45715</v>
      </c>
      <c r="C1891" s="1" t="n">
        <v>45831</v>
      </c>
      <c r="D1891" t="inlineStr">
        <is>
          <t>VÄSTERBOTTENS LÄN</t>
        </is>
      </c>
      <c r="E1891" t="inlineStr">
        <is>
          <t>LYCKSELE</t>
        </is>
      </c>
      <c r="F1891" t="inlineStr">
        <is>
          <t>SCA</t>
        </is>
      </c>
      <c r="G1891" t="n">
        <v>20.6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9670-2025</t>
        </is>
      </c>
      <c r="B1892" s="1" t="n">
        <v>45716</v>
      </c>
      <c r="C1892" s="1" t="n">
        <v>45831</v>
      </c>
      <c r="D1892" t="inlineStr">
        <is>
          <t>VÄSTERBOTTENS LÄN</t>
        </is>
      </c>
      <c r="E1892" t="inlineStr">
        <is>
          <t>LYCKSELE</t>
        </is>
      </c>
      <c r="G1892" t="n">
        <v>16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9951-2025</t>
        </is>
      </c>
      <c r="B1893" s="1" t="n">
        <v>45719</v>
      </c>
      <c r="C1893" s="1" t="n">
        <v>45831</v>
      </c>
      <c r="D1893" t="inlineStr">
        <is>
          <t>VÄSTERBOTTENS LÄN</t>
        </is>
      </c>
      <c r="E1893" t="inlineStr">
        <is>
          <t>LYCKSELE</t>
        </is>
      </c>
      <c r="F1893" t="inlineStr">
        <is>
          <t>SCA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10336-2025</t>
        </is>
      </c>
      <c r="B1894" s="1" t="n">
        <v>45720</v>
      </c>
      <c r="C1894" s="1" t="n">
        <v>45831</v>
      </c>
      <c r="D1894" t="inlineStr">
        <is>
          <t>VÄSTERBOTTENS LÄN</t>
        </is>
      </c>
      <c r="E1894" t="inlineStr">
        <is>
          <t>LYCKSELE</t>
        </is>
      </c>
      <c r="F1894" t="inlineStr">
        <is>
          <t>SCA</t>
        </is>
      </c>
      <c r="G1894" t="n">
        <v>16.9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10586-2025</t>
        </is>
      </c>
      <c r="B1895" s="1" t="n">
        <v>45721</v>
      </c>
      <c r="C1895" s="1" t="n">
        <v>45831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SCA</t>
        </is>
      </c>
      <c r="G1895" t="n">
        <v>6.1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11090-2025</t>
        </is>
      </c>
      <c r="B1896" s="1" t="n">
        <v>45723</v>
      </c>
      <c r="C1896" s="1" t="n">
        <v>45831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SCA</t>
        </is>
      </c>
      <c r="G1896" t="n">
        <v>11.5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11474-2025</t>
        </is>
      </c>
      <c r="B1897" s="1" t="n">
        <v>45726</v>
      </c>
      <c r="C1897" s="1" t="n">
        <v>45831</v>
      </c>
      <c r="D1897" t="inlineStr">
        <is>
          <t>VÄSTERBOTTENS LÄN</t>
        </is>
      </c>
      <c r="E1897" t="inlineStr">
        <is>
          <t>LYCKSELE</t>
        </is>
      </c>
      <c r="G1897" t="n">
        <v>17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11475-2025</t>
        </is>
      </c>
      <c r="B1898" s="1" t="n">
        <v>45726</v>
      </c>
      <c r="C1898" s="1" t="n">
        <v>45831</v>
      </c>
      <c r="D1898" t="inlineStr">
        <is>
          <t>VÄSTERBOTTENS LÄN</t>
        </is>
      </c>
      <c r="E1898" t="inlineStr">
        <is>
          <t>LYCKSELE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12255-2025</t>
        </is>
      </c>
      <c r="B1899" s="1" t="n">
        <v>45729</v>
      </c>
      <c r="C1899" s="1" t="n">
        <v>45831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SCA</t>
        </is>
      </c>
      <c r="G1899" t="n">
        <v>4.8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12424-2025</t>
        </is>
      </c>
      <c r="B1900" s="1" t="n">
        <v>45730</v>
      </c>
      <c r="C1900" s="1" t="n">
        <v>45831</v>
      </c>
      <c r="D1900" t="inlineStr">
        <is>
          <t>VÄSTERBOTTENS LÄN</t>
        </is>
      </c>
      <c r="E1900" t="inlineStr">
        <is>
          <t>LYCKSELE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12430-2025</t>
        </is>
      </c>
      <c r="B1901" s="1" t="n">
        <v>45730</v>
      </c>
      <c r="C1901" s="1" t="n">
        <v>45831</v>
      </c>
      <c r="D1901" t="inlineStr">
        <is>
          <t>VÄSTERBOTTENS LÄN</t>
        </is>
      </c>
      <c r="E1901" t="inlineStr">
        <is>
          <t>LYCKSELE</t>
        </is>
      </c>
      <c r="G1901" t="n">
        <v>4.8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12585-2025</t>
        </is>
      </c>
      <c r="B1902" s="1" t="n">
        <v>45732</v>
      </c>
      <c r="C1902" s="1" t="n">
        <v>45831</v>
      </c>
      <c r="D1902" t="inlineStr">
        <is>
          <t>VÄSTERBOTTENS LÄN</t>
        </is>
      </c>
      <c r="E1902" t="inlineStr">
        <is>
          <t>LYCKSELE</t>
        </is>
      </c>
      <c r="G1902" t="n">
        <v>15.5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12934-2025</t>
        </is>
      </c>
      <c r="B1903" s="1" t="n">
        <v>45734</v>
      </c>
      <c r="C1903" s="1" t="n">
        <v>45831</v>
      </c>
      <c r="D1903" t="inlineStr">
        <is>
          <t>VÄSTERBOTTENS LÄN</t>
        </is>
      </c>
      <c r="E1903" t="inlineStr">
        <is>
          <t>LYCKSELE</t>
        </is>
      </c>
      <c r="G1903" t="n">
        <v>10.4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13216-2025</t>
        </is>
      </c>
      <c r="B1904" s="1" t="n">
        <v>45735</v>
      </c>
      <c r="C1904" s="1" t="n">
        <v>45831</v>
      </c>
      <c r="D1904" t="inlineStr">
        <is>
          <t>VÄSTERBOTTENS LÄN</t>
        </is>
      </c>
      <c r="E1904" t="inlineStr">
        <is>
          <t>LYCKSELE</t>
        </is>
      </c>
      <c r="F1904" t="inlineStr">
        <is>
          <t>SCA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13202-2025</t>
        </is>
      </c>
      <c r="B1905" s="1" t="n">
        <v>45735</v>
      </c>
      <c r="C1905" s="1" t="n">
        <v>45831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SCA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13883-2025</t>
        </is>
      </c>
      <c r="B1906" s="1" t="n">
        <v>45737</v>
      </c>
      <c r="C1906" s="1" t="n">
        <v>45831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Naturvårdsverket</t>
        </is>
      </c>
      <c r="G1906" t="n">
        <v>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14249-2025</t>
        </is>
      </c>
      <c r="B1907" s="1" t="n">
        <v>45740</v>
      </c>
      <c r="C1907" s="1" t="n">
        <v>45831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SCA</t>
        </is>
      </c>
      <c r="G1907" t="n">
        <v>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14248-2025</t>
        </is>
      </c>
      <c r="B1908" s="1" t="n">
        <v>45740</v>
      </c>
      <c r="C1908" s="1" t="n">
        <v>45831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SCA</t>
        </is>
      </c>
      <c r="G1908" t="n">
        <v>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14276-2025</t>
        </is>
      </c>
      <c r="B1909" s="1" t="n">
        <v>45740</v>
      </c>
      <c r="C1909" s="1" t="n">
        <v>45831</v>
      </c>
      <c r="D1909" t="inlineStr">
        <is>
          <t>VÄSTERBOTTENS LÄN</t>
        </is>
      </c>
      <c r="E1909" t="inlineStr">
        <is>
          <t>LYCKSELE</t>
        </is>
      </c>
      <c r="G1909" t="n">
        <v>34.9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14085-2025</t>
        </is>
      </c>
      <c r="B1910" s="1" t="n">
        <v>45740</v>
      </c>
      <c r="C1910" s="1" t="n">
        <v>45831</v>
      </c>
      <c r="D1910" t="inlineStr">
        <is>
          <t>VÄSTERBOTTENS LÄN</t>
        </is>
      </c>
      <c r="E1910" t="inlineStr">
        <is>
          <t>LYCKSELE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14343-2025</t>
        </is>
      </c>
      <c r="B1911" s="1" t="n">
        <v>45741</v>
      </c>
      <c r="C1911" s="1" t="n">
        <v>45831</v>
      </c>
      <c r="D1911" t="inlineStr">
        <is>
          <t>VÄSTERBOTTENS LÄN</t>
        </is>
      </c>
      <c r="E1911" t="inlineStr">
        <is>
          <t>LYCKSELE</t>
        </is>
      </c>
      <c r="G1911" t="n">
        <v>6.4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14795-2025</t>
        </is>
      </c>
      <c r="B1912" s="1" t="n">
        <v>45742</v>
      </c>
      <c r="C1912" s="1" t="n">
        <v>45831</v>
      </c>
      <c r="D1912" t="inlineStr">
        <is>
          <t>VÄSTERBOTTENS LÄN</t>
        </is>
      </c>
      <c r="E1912" t="inlineStr">
        <is>
          <t>LYCKSELE</t>
        </is>
      </c>
      <c r="G1912" t="n">
        <v>3.6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14794-2025</t>
        </is>
      </c>
      <c r="B1913" s="1" t="n">
        <v>45742</v>
      </c>
      <c r="C1913" s="1" t="n">
        <v>45831</v>
      </c>
      <c r="D1913" t="inlineStr">
        <is>
          <t>VÄSTERBOTTENS LÄN</t>
        </is>
      </c>
      <c r="E1913" t="inlineStr">
        <is>
          <t>LYCKSELE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14623-2025</t>
        </is>
      </c>
      <c r="B1914" s="1" t="n">
        <v>45742</v>
      </c>
      <c r="C1914" s="1" t="n">
        <v>45831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Naturvårdsverket</t>
        </is>
      </c>
      <c r="G1914" t="n">
        <v>10.4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14773-2025</t>
        </is>
      </c>
      <c r="B1915" s="1" t="n">
        <v>45742</v>
      </c>
      <c r="C1915" s="1" t="n">
        <v>45831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Holmen skog AB</t>
        </is>
      </c>
      <c r="G1915" t="n">
        <v>50.1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15037-2025</t>
        </is>
      </c>
      <c r="B1916" s="1" t="n">
        <v>45743</v>
      </c>
      <c r="C1916" s="1" t="n">
        <v>45831</v>
      </c>
      <c r="D1916" t="inlineStr">
        <is>
          <t>VÄSTERBOTTENS LÄN</t>
        </is>
      </c>
      <c r="E1916" t="inlineStr">
        <is>
          <t>LYCKSELE</t>
        </is>
      </c>
      <c r="G1916" t="n">
        <v>12.1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15239-2025</t>
        </is>
      </c>
      <c r="B1917" s="1" t="n">
        <v>45744</v>
      </c>
      <c r="C1917" s="1" t="n">
        <v>45831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Holmen skog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15221-2025</t>
        </is>
      </c>
      <c r="B1918" s="1" t="n">
        <v>45744</v>
      </c>
      <c r="C1918" s="1" t="n">
        <v>45831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Holmen skog AB</t>
        </is>
      </c>
      <c r="G1918" t="n">
        <v>12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16183-2025</t>
        </is>
      </c>
      <c r="B1919" s="1" t="n">
        <v>45750</v>
      </c>
      <c r="C1919" s="1" t="n">
        <v>45831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Sveaskog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16504-2025</t>
        </is>
      </c>
      <c r="B1920" s="1" t="n">
        <v>45751</v>
      </c>
      <c r="C1920" s="1" t="n">
        <v>45831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Holmen skog AB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16289-2025</t>
        </is>
      </c>
      <c r="B1921" s="1" t="n">
        <v>45751</v>
      </c>
      <c r="C1921" s="1" t="n">
        <v>45831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Holmen skog AB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16292-2025</t>
        </is>
      </c>
      <c r="B1922" s="1" t="n">
        <v>45751</v>
      </c>
      <c r="C1922" s="1" t="n">
        <v>45831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Holmen skog AB</t>
        </is>
      </c>
      <c r="G1922" t="n">
        <v>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17312-2025</t>
        </is>
      </c>
      <c r="B1923" s="1" t="n">
        <v>45756</v>
      </c>
      <c r="C1923" s="1" t="n">
        <v>45831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SCA</t>
        </is>
      </c>
      <c r="G1923" t="n">
        <v>5.4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17192-2025</t>
        </is>
      </c>
      <c r="B1924" s="1" t="n">
        <v>45756</v>
      </c>
      <c r="C1924" s="1" t="n">
        <v>45831</v>
      </c>
      <c r="D1924" t="inlineStr">
        <is>
          <t>VÄSTERBOTTENS LÄN</t>
        </is>
      </c>
      <c r="E1924" t="inlineStr">
        <is>
          <t>LYCKSELE</t>
        </is>
      </c>
      <c r="F1924" t="inlineStr">
        <is>
          <t>Holmen skog AB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17415-2025</t>
        </is>
      </c>
      <c r="B1925" s="1" t="n">
        <v>45757</v>
      </c>
      <c r="C1925" s="1" t="n">
        <v>45831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Holmen skog AB</t>
        </is>
      </c>
      <c r="G1925" t="n">
        <v>11.9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17459-2025</t>
        </is>
      </c>
      <c r="B1926" s="1" t="n">
        <v>45757</v>
      </c>
      <c r="C1926" s="1" t="n">
        <v>45831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Holmen skog AB</t>
        </is>
      </c>
      <c r="G1926" t="n">
        <v>4.2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17513-2025</t>
        </is>
      </c>
      <c r="B1927" s="1" t="n">
        <v>45757</v>
      </c>
      <c r="C1927" s="1" t="n">
        <v>45831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SCA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17423-2025</t>
        </is>
      </c>
      <c r="B1928" s="1" t="n">
        <v>45757</v>
      </c>
      <c r="C1928" s="1" t="n">
        <v>45831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Holmen skog AB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17736-2025</t>
        </is>
      </c>
      <c r="B1929" s="1" t="n">
        <v>45758</v>
      </c>
      <c r="C1929" s="1" t="n">
        <v>45831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SCA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17688-2025</t>
        </is>
      </c>
      <c r="B1930" s="1" t="n">
        <v>45758</v>
      </c>
      <c r="C1930" s="1" t="n">
        <v>45831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Sveaskog</t>
        </is>
      </c>
      <c r="G1930" t="n">
        <v>3.5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17982-2025</t>
        </is>
      </c>
      <c r="B1931" s="1" t="n">
        <v>45761</v>
      </c>
      <c r="C1931" s="1" t="n">
        <v>45831</v>
      </c>
      <c r="D1931" t="inlineStr">
        <is>
          <t>VÄSTERBOTTENS LÄN</t>
        </is>
      </c>
      <c r="E1931" t="inlineStr">
        <is>
          <t>LYCKSELE</t>
        </is>
      </c>
      <c r="G1931" t="n">
        <v>4.8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18339-2025</t>
        </is>
      </c>
      <c r="B1932" s="1" t="n">
        <v>45762</v>
      </c>
      <c r="C1932" s="1" t="n">
        <v>45831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Naturvårdsverket</t>
        </is>
      </c>
      <c r="G1932" t="n">
        <v>13.4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18262-2025</t>
        </is>
      </c>
      <c r="B1933" s="1" t="n">
        <v>45762</v>
      </c>
      <c r="C1933" s="1" t="n">
        <v>45831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SCA</t>
        </is>
      </c>
      <c r="G1933" t="n">
        <v>5.6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18632-2025</t>
        </is>
      </c>
      <c r="B1934" s="1" t="n">
        <v>45763</v>
      </c>
      <c r="C1934" s="1" t="n">
        <v>45831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Naturvårdsverket</t>
        </is>
      </c>
      <c r="G1934" t="n">
        <v>11.5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18594-2025</t>
        </is>
      </c>
      <c r="B1935" s="1" t="n">
        <v>45763</v>
      </c>
      <c r="C1935" s="1" t="n">
        <v>45831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Holmen skog AB</t>
        </is>
      </c>
      <c r="G1935" t="n">
        <v>6.2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18674-2025</t>
        </is>
      </c>
      <c r="B1936" s="1" t="n">
        <v>45763</v>
      </c>
      <c r="C1936" s="1" t="n">
        <v>45831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Holmen skog AB</t>
        </is>
      </c>
      <c r="G1936" t="n">
        <v>7.9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18709-2025</t>
        </is>
      </c>
      <c r="B1937" s="1" t="n">
        <v>45763</v>
      </c>
      <c r="C1937" s="1" t="n">
        <v>45831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Naturvårdsverket</t>
        </is>
      </c>
      <c r="G1937" t="n">
        <v>6.8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18705-2025</t>
        </is>
      </c>
      <c r="B1938" s="1" t="n">
        <v>45763</v>
      </c>
      <c r="C1938" s="1" t="n">
        <v>45831</v>
      </c>
      <c r="D1938" t="inlineStr">
        <is>
          <t>VÄSTERBOTTENS LÄN</t>
        </is>
      </c>
      <c r="E1938" t="inlineStr">
        <is>
          <t>LYCKSELE</t>
        </is>
      </c>
      <c r="F1938" t="inlineStr">
        <is>
          <t>Holmen skog AB</t>
        </is>
      </c>
      <c r="G1938" t="n">
        <v>13.6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18688-2025</t>
        </is>
      </c>
      <c r="B1939" s="1" t="n">
        <v>45763</v>
      </c>
      <c r="C1939" s="1" t="n">
        <v>45831</v>
      </c>
      <c r="D1939" t="inlineStr">
        <is>
          <t>VÄSTERBOTTENS LÄN</t>
        </is>
      </c>
      <c r="E1939" t="inlineStr">
        <is>
          <t>LYCKSELE</t>
        </is>
      </c>
      <c r="G1939" t="n">
        <v>9.9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18566-2025</t>
        </is>
      </c>
      <c r="B1940" s="1" t="n">
        <v>45763</v>
      </c>
      <c r="C1940" s="1" t="n">
        <v>45831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Holmen skog AB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18810-2025</t>
        </is>
      </c>
      <c r="B1941" s="1" t="n">
        <v>45764</v>
      </c>
      <c r="C1941" s="1" t="n">
        <v>45831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Holmen skog AB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19246-2025</t>
        </is>
      </c>
      <c r="B1942" s="1" t="n">
        <v>45769</v>
      </c>
      <c r="C1942" s="1" t="n">
        <v>45831</v>
      </c>
      <c r="D1942" t="inlineStr">
        <is>
          <t>VÄSTERBOTTENS LÄN</t>
        </is>
      </c>
      <c r="E1942" t="inlineStr">
        <is>
          <t>LYCKSELE</t>
        </is>
      </c>
      <c r="G1942" t="n">
        <v>9.4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19606-2025</t>
        </is>
      </c>
      <c r="B1943" s="1" t="n">
        <v>45770</v>
      </c>
      <c r="C1943" s="1" t="n">
        <v>45831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Holmen skog AB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19531-2025</t>
        </is>
      </c>
      <c r="B1944" s="1" t="n">
        <v>45770</v>
      </c>
      <c r="C1944" s="1" t="n">
        <v>45831</v>
      </c>
      <c r="D1944" t="inlineStr">
        <is>
          <t>VÄSTERBOTTENS LÄN</t>
        </is>
      </c>
      <c r="E1944" t="inlineStr">
        <is>
          <t>LYCKSELE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20026-2025</t>
        </is>
      </c>
      <c r="B1945" s="1" t="n">
        <v>45772</v>
      </c>
      <c r="C1945" s="1" t="n">
        <v>45831</v>
      </c>
      <c r="D1945" t="inlineStr">
        <is>
          <t>VÄSTERBOTTENS LÄN</t>
        </is>
      </c>
      <c r="E1945" t="inlineStr">
        <is>
          <t>LYCKSELE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20161-2025</t>
        </is>
      </c>
      <c r="B1946" s="1" t="n">
        <v>45772</v>
      </c>
      <c r="C1946" s="1" t="n">
        <v>45831</v>
      </c>
      <c r="D1946" t="inlineStr">
        <is>
          <t>VÄSTERBOTTENS LÄN</t>
        </is>
      </c>
      <c r="E1946" t="inlineStr">
        <is>
          <t>LYCKSELE</t>
        </is>
      </c>
      <c r="F1946" t="inlineStr">
        <is>
          <t>Holmen skog AB</t>
        </is>
      </c>
      <c r="G1946" t="n">
        <v>6.5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20034-2025</t>
        </is>
      </c>
      <c r="B1947" s="1" t="n">
        <v>45772</v>
      </c>
      <c r="C1947" s="1" t="n">
        <v>45831</v>
      </c>
      <c r="D1947" t="inlineStr">
        <is>
          <t>VÄSTERBOTTENS LÄN</t>
        </is>
      </c>
      <c r="E1947" t="inlineStr">
        <is>
          <t>LYCKSELE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20148-2025</t>
        </is>
      </c>
      <c r="B1948" s="1" t="n">
        <v>45772</v>
      </c>
      <c r="C1948" s="1" t="n">
        <v>45831</v>
      </c>
      <c r="D1948" t="inlineStr">
        <is>
          <t>VÄSTERBOTTENS LÄN</t>
        </is>
      </c>
      <c r="E1948" t="inlineStr">
        <is>
          <t>LYCKSELE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20344-2025</t>
        </is>
      </c>
      <c r="B1949" s="1" t="n">
        <v>45775</v>
      </c>
      <c r="C1949" s="1" t="n">
        <v>45831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Sveaskog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20560-2025</t>
        </is>
      </c>
      <c r="B1950" s="1" t="n">
        <v>45775</v>
      </c>
      <c r="C1950" s="1" t="n">
        <v>45831</v>
      </c>
      <c r="D1950" t="inlineStr">
        <is>
          <t>VÄSTERBOTTENS LÄN</t>
        </is>
      </c>
      <c r="E1950" t="inlineStr">
        <is>
          <t>LYCKSELE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20508-2025</t>
        </is>
      </c>
      <c r="B1951" s="1" t="n">
        <v>45775</v>
      </c>
      <c r="C1951" s="1" t="n">
        <v>45831</v>
      </c>
      <c r="D1951" t="inlineStr">
        <is>
          <t>VÄSTERBOTTENS LÄN</t>
        </is>
      </c>
      <c r="E1951" t="inlineStr">
        <is>
          <t>LYCKSELE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20685-2025</t>
        </is>
      </c>
      <c r="B1952" s="1" t="n">
        <v>45776</v>
      </c>
      <c r="C1952" s="1" t="n">
        <v>45831</v>
      </c>
      <c r="D1952" t="inlineStr">
        <is>
          <t>VÄSTERBOTTENS LÄN</t>
        </is>
      </c>
      <c r="E1952" t="inlineStr">
        <is>
          <t>LYCKSELE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20671-2025</t>
        </is>
      </c>
      <c r="B1953" s="1" t="n">
        <v>45776</v>
      </c>
      <c r="C1953" s="1" t="n">
        <v>45831</v>
      </c>
      <c r="D1953" t="inlineStr">
        <is>
          <t>VÄSTERBOTTENS LÄN</t>
        </is>
      </c>
      <c r="E1953" t="inlineStr">
        <is>
          <t>LYCKSELE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20979-2025</t>
        </is>
      </c>
      <c r="B1954" s="1" t="n">
        <v>45777</v>
      </c>
      <c r="C1954" s="1" t="n">
        <v>45831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Sveaskog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20958-2025</t>
        </is>
      </c>
      <c r="B1955" s="1" t="n">
        <v>45777</v>
      </c>
      <c r="C1955" s="1" t="n">
        <v>45831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Sveaskog</t>
        </is>
      </c>
      <c r="G1955" t="n">
        <v>31.1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21046-2025</t>
        </is>
      </c>
      <c r="B1956" s="1" t="n">
        <v>45777</v>
      </c>
      <c r="C1956" s="1" t="n">
        <v>45831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Holmen skog AB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21266-2025</t>
        </is>
      </c>
      <c r="B1957" s="1" t="n">
        <v>45779</v>
      </c>
      <c r="C1957" s="1" t="n">
        <v>45831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SCA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21195-2025</t>
        </is>
      </c>
      <c r="B1958" s="1" t="n">
        <v>45779</v>
      </c>
      <c r="C1958" s="1" t="n">
        <v>45831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SCA</t>
        </is>
      </c>
      <c r="G1958" t="n">
        <v>6.5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21171-2025</t>
        </is>
      </c>
      <c r="B1959" s="1" t="n">
        <v>45779</v>
      </c>
      <c r="C1959" s="1" t="n">
        <v>45831</v>
      </c>
      <c r="D1959" t="inlineStr">
        <is>
          <t>VÄSTERBOTTENS LÄN</t>
        </is>
      </c>
      <c r="E1959" t="inlineStr">
        <is>
          <t>LYCKSELE</t>
        </is>
      </c>
      <c r="F1959" t="inlineStr">
        <is>
          <t>Sveaskog</t>
        </is>
      </c>
      <c r="G1959" t="n">
        <v>4.9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21289-2025</t>
        </is>
      </c>
      <c r="B1960" s="1" t="n">
        <v>45779</v>
      </c>
      <c r="C1960" s="1" t="n">
        <v>45831</v>
      </c>
      <c r="D1960" t="inlineStr">
        <is>
          <t>VÄSTERBOTTENS LÄN</t>
        </is>
      </c>
      <c r="E1960" t="inlineStr">
        <is>
          <t>LYCKSELE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21374-2025</t>
        </is>
      </c>
      <c r="B1961" s="1" t="n">
        <v>45782</v>
      </c>
      <c r="C1961" s="1" t="n">
        <v>45831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SCA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21655-2025</t>
        </is>
      </c>
      <c r="B1962" s="1" t="n">
        <v>45783</v>
      </c>
      <c r="C1962" s="1" t="n">
        <v>45831</v>
      </c>
      <c r="D1962" t="inlineStr">
        <is>
          <t>VÄSTERBOTTENS LÄN</t>
        </is>
      </c>
      <c r="E1962" t="inlineStr">
        <is>
          <t>LYCKSELE</t>
        </is>
      </c>
      <c r="F1962" t="inlineStr">
        <is>
          <t>Holmen skog AB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21727-2025</t>
        </is>
      </c>
      <c r="B1963" s="1" t="n">
        <v>45783</v>
      </c>
      <c r="C1963" s="1" t="n">
        <v>45831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SCA</t>
        </is>
      </c>
      <c r="G1963" t="n">
        <v>5.4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21888-2025</t>
        </is>
      </c>
      <c r="B1964" s="1" t="n">
        <v>45784</v>
      </c>
      <c r="C1964" s="1" t="n">
        <v>45831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Holmen skog AB</t>
        </is>
      </c>
      <c r="G1964" t="n">
        <v>4.4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21861-2025</t>
        </is>
      </c>
      <c r="B1965" s="1" t="n">
        <v>45784</v>
      </c>
      <c r="C1965" s="1" t="n">
        <v>45831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SCA</t>
        </is>
      </c>
      <c r="G1965" t="n">
        <v>10.5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22127-2025</t>
        </is>
      </c>
      <c r="B1966" s="1" t="n">
        <v>45785</v>
      </c>
      <c r="C1966" s="1" t="n">
        <v>45831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Sveaskog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22107-2025</t>
        </is>
      </c>
      <c r="B1967" s="1" t="n">
        <v>45785</v>
      </c>
      <c r="C1967" s="1" t="n">
        <v>45831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SCA</t>
        </is>
      </c>
      <c r="G1967" t="n">
        <v>8.4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22229-2025</t>
        </is>
      </c>
      <c r="B1968" s="1" t="n">
        <v>45785</v>
      </c>
      <c r="C1968" s="1" t="n">
        <v>45831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Holmen skog AB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22423-2025</t>
        </is>
      </c>
      <c r="B1969" s="1" t="n">
        <v>45786</v>
      </c>
      <c r="C1969" s="1" t="n">
        <v>45831</v>
      </c>
      <c r="D1969" t="inlineStr">
        <is>
          <t>VÄSTERBOTTENS LÄN</t>
        </is>
      </c>
      <c r="E1969" t="inlineStr">
        <is>
          <t>LYCKSELE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22343-2025</t>
        </is>
      </c>
      <c r="B1970" s="1" t="n">
        <v>45786</v>
      </c>
      <c r="C1970" s="1" t="n">
        <v>45831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SCA</t>
        </is>
      </c>
      <c r="G1970" t="n">
        <v>4.7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22344-2025</t>
        </is>
      </c>
      <c r="B1971" s="1" t="n">
        <v>45786</v>
      </c>
      <c r="C1971" s="1" t="n">
        <v>45831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SCA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22456-2025</t>
        </is>
      </c>
      <c r="B1972" s="1" t="n">
        <v>45786</v>
      </c>
      <c r="C1972" s="1" t="n">
        <v>45831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Sveaskog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22408-2025</t>
        </is>
      </c>
      <c r="B1973" s="1" t="n">
        <v>45786</v>
      </c>
      <c r="C1973" s="1" t="n">
        <v>45831</v>
      </c>
      <c r="D1973" t="inlineStr">
        <is>
          <t>VÄSTERBOTTENS LÄN</t>
        </is>
      </c>
      <c r="E1973" t="inlineStr">
        <is>
          <t>LYCKSELE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22309-2025</t>
        </is>
      </c>
      <c r="B1974" s="1" t="n">
        <v>45786</v>
      </c>
      <c r="C1974" s="1" t="n">
        <v>45831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Holmen skog AB</t>
        </is>
      </c>
      <c r="G1974" t="n">
        <v>3.1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22403-2025</t>
        </is>
      </c>
      <c r="B1975" s="1" t="n">
        <v>45786</v>
      </c>
      <c r="C1975" s="1" t="n">
        <v>45831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Sveaskog</t>
        </is>
      </c>
      <c r="G1975" t="n">
        <v>20.7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22452-2025</t>
        </is>
      </c>
      <c r="B1976" s="1" t="n">
        <v>45786</v>
      </c>
      <c r="C1976" s="1" t="n">
        <v>45831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Sveaskog</t>
        </is>
      </c>
      <c r="G1976" t="n">
        <v>11.4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22453-2025</t>
        </is>
      </c>
      <c r="B1977" s="1" t="n">
        <v>45786</v>
      </c>
      <c r="C1977" s="1" t="n">
        <v>45831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Sveaskog</t>
        </is>
      </c>
      <c r="G1977" t="n">
        <v>5.9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22378-2025</t>
        </is>
      </c>
      <c r="B1978" s="1" t="n">
        <v>45786</v>
      </c>
      <c r="C1978" s="1" t="n">
        <v>45831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SCA</t>
        </is>
      </c>
      <c r="G1978" t="n">
        <v>11.9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22720-2025</t>
        </is>
      </c>
      <c r="B1979" s="1" t="n">
        <v>45789</v>
      </c>
      <c r="C1979" s="1" t="n">
        <v>45831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Sveaskog</t>
        </is>
      </c>
      <c r="G1979" t="n">
        <v>29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22759-2025</t>
        </is>
      </c>
      <c r="B1980" s="1" t="n">
        <v>45789</v>
      </c>
      <c r="C1980" s="1" t="n">
        <v>45831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Sveaskog</t>
        </is>
      </c>
      <c r="G1980" t="n">
        <v>25.5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22732-2025</t>
        </is>
      </c>
      <c r="B1981" s="1" t="n">
        <v>45789</v>
      </c>
      <c r="C1981" s="1" t="n">
        <v>45831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Sveaskog</t>
        </is>
      </c>
      <c r="G1981" t="n">
        <v>29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22584-2025</t>
        </is>
      </c>
      <c r="B1982" s="1" t="n">
        <v>45789</v>
      </c>
      <c r="C1982" s="1" t="n">
        <v>45831</v>
      </c>
      <c r="D1982" t="inlineStr">
        <is>
          <t>VÄSTERBOTTENS LÄN</t>
        </is>
      </c>
      <c r="E1982" t="inlineStr">
        <is>
          <t>LYCKSELE</t>
        </is>
      </c>
      <c r="G1982" t="n">
        <v>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23008-2025</t>
        </is>
      </c>
      <c r="B1983" s="1" t="n">
        <v>45790</v>
      </c>
      <c r="C1983" s="1" t="n">
        <v>45831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SCA</t>
        </is>
      </c>
      <c r="G1983" t="n">
        <v>6.2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23269-2025</t>
        </is>
      </c>
      <c r="B1984" s="1" t="n">
        <v>45791</v>
      </c>
      <c r="C1984" s="1" t="n">
        <v>45831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Sveaskog</t>
        </is>
      </c>
      <c r="G1984" t="n">
        <v>15.1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23274-2025</t>
        </is>
      </c>
      <c r="B1985" s="1" t="n">
        <v>45791</v>
      </c>
      <c r="C1985" s="1" t="n">
        <v>45831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Sveaskog</t>
        </is>
      </c>
      <c r="G1985" t="n">
        <v>15.1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23277-2025</t>
        </is>
      </c>
      <c r="B1986" s="1" t="n">
        <v>45791</v>
      </c>
      <c r="C1986" s="1" t="n">
        <v>45831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Sveaskog</t>
        </is>
      </c>
      <c r="G1986" t="n">
        <v>15.1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23549-2025</t>
        </is>
      </c>
      <c r="B1987" s="1" t="n">
        <v>45792</v>
      </c>
      <c r="C1987" s="1" t="n">
        <v>45831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Naturvårdsverket</t>
        </is>
      </c>
      <c r="G1987" t="n">
        <v>29.9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23551-2025</t>
        </is>
      </c>
      <c r="B1988" s="1" t="n">
        <v>45792</v>
      </c>
      <c r="C1988" s="1" t="n">
        <v>45831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SCA</t>
        </is>
      </c>
      <c r="G1988" t="n">
        <v>5.3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23645-2025</t>
        </is>
      </c>
      <c r="B1989" s="1" t="n">
        <v>45792</v>
      </c>
      <c r="C1989" s="1" t="n">
        <v>45831</v>
      </c>
      <c r="D1989" t="inlineStr">
        <is>
          <t>VÄSTERBOTTENS LÄN</t>
        </is>
      </c>
      <c r="E1989" t="inlineStr">
        <is>
          <t>LYCKSELE</t>
        </is>
      </c>
      <c r="F1989" t="inlineStr">
        <is>
          <t>Sveaskog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23554-2025</t>
        </is>
      </c>
      <c r="B1990" s="1" t="n">
        <v>45792</v>
      </c>
      <c r="C1990" s="1" t="n">
        <v>45831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Holmen skog AB</t>
        </is>
      </c>
      <c r="G1990" t="n">
        <v>4.4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23798-2025</t>
        </is>
      </c>
      <c r="B1991" s="1" t="n">
        <v>45793</v>
      </c>
      <c r="C1991" s="1" t="n">
        <v>45831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SCA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23802-2025</t>
        </is>
      </c>
      <c r="B1992" s="1" t="n">
        <v>45793</v>
      </c>
      <c r="C1992" s="1" t="n">
        <v>45831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Holmen skog AB</t>
        </is>
      </c>
      <c r="G1992" t="n">
        <v>15.4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23827-2025</t>
        </is>
      </c>
      <c r="B1993" s="1" t="n">
        <v>45793</v>
      </c>
      <c r="C1993" s="1" t="n">
        <v>45831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SCA</t>
        </is>
      </c>
      <c r="G1993" t="n">
        <v>3.7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23679-2025</t>
        </is>
      </c>
      <c r="B1994" s="1" t="n">
        <v>45793</v>
      </c>
      <c r="C1994" s="1" t="n">
        <v>45831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Sveaskog</t>
        </is>
      </c>
      <c r="G1994" t="n">
        <v>29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23801-2025</t>
        </is>
      </c>
      <c r="B1995" s="1" t="n">
        <v>45793</v>
      </c>
      <c r="C1995" s="1" t="n">
        <v>45831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Holmen skog AB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24063-2025</t>
        </is>
      </c>
      <c r="B1996" s="1" t="n">
        <v>45796</v>
      </c>
      <c r="C1996" s="1" t="n">
        <v>45831</v>
      </c>
      <c r="D1996" t="inlineStr">
        <is>
          <t>VÄSTERBOTTENS LÄN</t>
        </is>
      </c>
      <c r="E1996" t="inlineStr">
        <is>
          <t>LYCKSELE</t>
        </is>
      </c>
      <c r="G1996" t="n">
        <v>9.6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24129-2025</t>
        </is>
      </c>
      <c r="B1997" s="1" t="n">
        <v>45796</v>
      </c>
      <c r="C1997" s="1" t="n">
        <v>45831</v>
      </c>
      <c r="D1997" t="inlineStr">
        <is>
          <t>VÄSTERBOTTENS LÄN</t>
        </is>
      </c>
      <c r="E1997" t="inlineStr">
        <is>
          <t>LYCKSELE</t>
        </is>
      </c>
      <c r="F1997" t="inlineStr">
        <is>
          <t>Holmen skog AB</t>
        </is>
      </c>
      <c r="G1997" t="n">
        <v>4.9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24509-2025</t>
        </is>
      </c>
      <c r="B1998" s="1" t="n">
        <v>45798</v>
      </c>
      <c r="C1998" s="1" t="n">
        <v>45831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Sveaskog</t>
        </is>
      </c>
      <c r="G1998" t="n">
        <v>29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24511-2025</t>
        </is>
      </c>
      <c r="B1999" s="1" t="n">
        <v>45798</v>
      </c>
      <c r="C1999" s="1" t="n">
        <v>45831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Sveaskog</t>
        </is>
      </c>
      <c r="G1999" t="n">
        <v>29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24514-2025</t>
        </is>
      </c>
      <c r="B2000" s="1" t="n">
        <v>45798</v>
      </c>
      <c r="C2000" s="1" t="n">
        <v>45831</v>
      </c>
      <c r="D2000" t="inlineStr">
        <is>
          <t>VÄSTERBOTTENS LÄN</t>
        </is>
      </c>
      <c r="E2000" t="inlineStr">
        <is>
          <t>LYCKSELE</t>
        </is>
      </c>
      <c r="F2000" t="inlineStr">
        <is>
          <t>Sveaskog</t>
        </is>
      </c>
      <c r="G2000" t="n">
        <v>8.300000000000001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24518-2025</t>
        </is>
      </c>
      <c r="B2001" s="1" t="n">
        <v>45798</v>
      </c>
      <c r="C2001" s="1" t="n">
        <v>45831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Sveaskog</t>
        </is>
      </c>
      <c r="G2001" t="n">
        <v>29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24603-2025</t>
        </is>
      </c>
      <c r="B2002" s="1" t="n">
        <v>45798</v>
      </c>
      <c r="C2002" s="1" t="n">
        <v>45831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SCA</t>
        </is>
      </c>
      <c r="G2002" t="n">
        <v>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24680-2025</t>
        </is>
      </c>
      <c r="B2003" s="1" t="n">
        <v>45798</v>
      </c>
      <c r="C2003" s="1" t="n">
        <v>45831</v>
      </c>
      <c r="D2003" t="inlineStr">
        <is>
          <t>VÄSTERBOTTENS LÄN</t>
        </is>
      </c>
      <c r="E2003" t="inlineStr">
        <is>
          <t>LYCKSELE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24679-2025</t>
        </is>
      </c>
      <c r="B2004" s="1" t="n">
        <v>45798</v>
      </c>
      <c r="C2004" s="1" t="n">
        <v>45831</v>
      </c>
      <c r="D2004" t="inlineStr">
        <is>
          <t>VÄSTERBOTTENS LÄN</t>
        </is>
      </c>
      <c r="E2004" t="inlineStr">
        <is>
          <t>LYCKSELE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24770-2025</t>
        </is>
      </c>
      <c r="B2005" s="1" t="n">
        <v>45799</v>
      </c>
      <c r="C2005" s="1" t="n">
        <v>45831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Holmen skog AB</t>
        </is>
      </c>
      <c r="G2005" t="n">
        <v>8.5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25061-2025</t>
        </is>
      </c>
      <c r="B2006" s="1" t="n">
        <v>45799</v>
      </c>
      <c r="C2006" s="1" t="n">
        <v>45831</v>
      </c>
      <c r="D2006" t="inlineStr">
        <is>
          <t>VÄSTERBOTTENS LÄN</t>
        </is>
      </c>
      <c r="E2006" t="inlineStr">
        <is>
          <t>LYCKSELE</t>
        </is>
      </c>
      <c r="F2006" t="inlineStr">
        <is>
          <t>SCA</t>
        </is>
      </c>
      <c r="G2006" t="n">
        <v>13.7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24729-2025</t>
        </is>
      </c>
      <c r="B2007" s="1" t="n">
        <v>45799</v>
      </c>
      <c r="C2007" s="1" t="n">
        <v>45831</v>
      </c>
      <c r="D2007" t="inlineStr">
        <is>
          <t>VÄSTERBOTTENS LÄN</t>
        </is>
      </c>
      <c r="E2007" t="inlineStr">
        <is>
          <t>LYCKSELE</t>
        </is>
      </c>
      <c r="F2007" t="inlineStr">
        <is>
          <t>Holmen skog AB</t>
        </is>
      </c>
      <c r="G2007" t="n">
        <v>4.8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24906-2025</t>
        </is>
      </c>
      <c r="B2008" s="1" t="n">
        <v>45799</v>
      </c>
      <c r="C2008" s="1" t="n">
        <v>45831</v>
      </c>
      <c r="D2008" t="inlineStr">
        <is>
          <t>VÄSTERBOTTENS LÄN</t>
        </is>
      </c>
      <c r="E2008" t="inlineStr">
        <is>
          <t>LYCKSELE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24951-2025</t>
        </is>
      </c>
      <c r="B2009" s="1" t="n">
        <v>45799</v>
      </c>
      <c r="C2009" s="1" t="n">
        <v>45831</v>
      </c>
      <c r="D2009" t="inlineStr">
        <is>
          <t>VÄSTERBOTTENS LÄN</t>
        </is>
      </c>
      <c r="E2009" t="inlineStr">
        <is>
          <t>LYCKSELE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24995-2025</t>
        </is>
      </c>
      <c r="B2010" s="1" t="n">
        <v>45799</v>
      </c>
      <c r="C2010" s="1" t="n">
        <v>45831</v>
      </c>
      <c r="D2010" t="inlineStr">
        <is>
          <t>VÄSTERBOTTENS LÄN</t>
        </is>
      </c>
      <c r="E2010" t="inlineStr">
        <is>
          <t>LYCKSELE</t>
        </is>
      </c>
      <c r="F2010" t="inlineStr">
        <is>
          <t>Sveaskog</t>
        </is>
      </c>
      <c r="G2010" t="n">
        <v>8.5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25000-2025</t>
        </is>
      </c>
      <c r="B2011" s="1" t="n">
        <v>45799</v>
      </c>
      <c r="C2011" s="1" t="n">
        <v>45831</v>
      </c>
      <c r="D2011" t="inlineStr">
        <is>
          <t>VÄSTERBOTTENS LÄN</t>
        </is>
      </c>
      <c r="E2011" t="inlineStr">
        <is>
          <t>LYCKSELE</t>
        </is>
      </c>
      <c r="F2011" t="inlineStr">
        <is>
          <t>Sveaskog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25581-2025</t>
        </is>
      </c>
      <c r="B2012" s="1" t="n">
        <v>45803</v>
      </c>
      <c r="C2012" s="1" t="n">
        <v>45831</v>
      </c>
      <c r="D2012" t="inlineStr">
        <is>
          <t>VÄSTERBOTTENS LÄN</t>
        </is>
      </c>
      <c r="E2012" t="inlineStr">
        <is>
          <t>LYCKSELE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25565-2025</t>
        </is>
      </c>
      <c r="B2013" s="1" t="n">
        <v>45803</v>
      </c>
      <c r="C2013" s="1" t="n">
        <v>45831</v>
      </c>
      <c r="D2013" t="inlineStr">
        <is>
          <t>VÄSTERBOTTENS LÄN</t>
        </is>
      </c>
      <c r="E2013" t="inlineStr">
        <is>
          <t>LYCKSELE</t>
        </is>
      </c>
      <c r="G2013" t="n">
        <v>21.9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25537-2025</t>
        </is>
      </c>
      <c r="B2014" s="1" t="n">
        <v>45803</v>
      </c>
      <c r="C2014" s="1" t="n">
        <v>45831</v>
      </c>
      <c r="D2014" t="inlineStr">
        <is>
          <t>VÄSTERBOTTENS LÄN</t>
        </is>
      </c>
      <c r="E2014" t="inlineStr">
        <is>
          <t>LYCKSELE</t>
        </is>
      </c>
      <c r="F2014" t="inlineStr">
        <is>
          <t>Holmen skog AB</t>
        </is>
      </c>
      <c r="G2014" t="n">
        <v>2.5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25590-2025</t>
        </is>
      </c>
      <c r="B2015" s="1" t="n">
        <v>45803</v>
      </c>
      <c r="C2015" s="1" t="n">
        <v>45831</v>
      </c>
      <c r="D2015" t="inlineStr">
        <is>
          <t>VÄSTERBOTTENS LÄN</t>
        </is>
      </c>
      <c r="E2015" t="inlineStr">
        <is>
          <t>LYCKSELE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25573-2025</t>
        </is>
      </c>
      <c r="B2016" s="1" t="n">
        <v>45803</v>
      </c>
      <c r="C2016" s="1" t="n">
        <v>45831</v>
      </c>
      <c r="D2016" t="inlineStr">
        <is>
          <t>VÄSTERBOTTENS LÄN</t>
        </is>
      </c>
      <c r="E2016" t="inlineStr">
        <is>
          <t>LYCKSELE</t>
        </is>
      </c>
      <c r="G2016" t="n">
        <v>6.3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25616-2025</t>
        </is>
      </c>
      <c r="B2017" s="1" t="n">
        <v>45803</v>
      </c>
      <c r="C2017" s="1" t="n">
        <v>45831</v>
      </c>
      <c r="D2017" t="inlineStr">
        <is>
          <t>VÄSTERBOTTENS LÄN</t>
        </is>
      </c>
      <c r="E2017" t="inlineStr">
        <is>
          <t>LYCKSELE</t>
        </is>
      </c>
      <c r="F2017" t="inlineStr">
        <is>
          <t>Sveaskog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25618-2025</t>
        </is>
      </c>
      <c r="B2018" s="1" t="n">
        <v>45803</v>
      </c>
      <c r="C2018" s="1" t="n">
        <v>45831</v>
      </c>
      <c r="D2018" t="inlineStr">
        <is>
          <t>VÄSTERBOTTENS LÄN</t>
        </is>
      </c>
      <c r="E2018" t="inlineStr">
        <is>
          <t>LYCKSELE</t>
        </is>
      </c>
      <c r="F2018" t="inlineStr">
        <is>
          <t>SCA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25655-2025</t>
        </is>
      </c>
      <c r="B2019" s="1" t="n">
        <v>45803</v>
      </c>
      <c r="C2019" s="1" t="n">
        <v>45831</v>
      </c>
      <c r="D2019" t="inlineStr">
        <is>
          <t>VÄSTERBOTTENS LÄN</t>
        </is>
      </c>
      <c r="E2019" t="inlineStr">
        <is>
          <t>LYCKSELE</t>
        </is>
      </c>
      <c r="F2019" t="inlineStr">
        <is>
          <t>Sveaskog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26295-2025</t>
        </is>
      </c>
      <c r="B2020" s="1" t="n">
        <v>45805</v>
      </c>
      <c r="C2020" s="1" t="n">
        <v>45831</v>
      </c>
      <c r="D2020" t="inlineStr">
        <is>
          <t>VÄSTERBOTTENS LÄN</t>
        </is>
      </c>
      <c r="E2020" t="inlineStr">
        <is>
          <t>LYCKSELE</t>
        </is>
      </c>
      <c r="F2020" t="inlineStr">
        <is>
          <t>SCA</t>
        </is>
      </c>
      <c r="G2020" t="n">
        <v>3.7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26151-2025</t>
        </is>
      </c>
      <c r="B2021" s="1" t="n">
        <v>45805</v>
      </c>
      <c r="C2021" s="1" t="n">
        <v>45831</v>
      </c>
      <c r="D2021" t="inlineStr">
        <is>
          <t>VÄSTERBOTTENS LÄN</t>
        </is>
      </c>
      <c r="E2021" t="inlineStr">
        <is>
          <t>LYCKSELE</t>
        </is>
      </c>
      <c r="G2021" t="n">
        <v>6.8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26228-2025</t>
        </is>
      </c>
      <c r="B2022" s="1" t="n">
        <v>45805</v>
      </c>
      <c r="C2022" s="1" t="n">
        <v>45831</v>
      </c>
      <c r="D2022" t="inlineStr">
        <is>
          <t>VÄSTERBOTTENS LÄN</t>
        </is>
      </c>
      <c r="E2022" t="inlineStr">
        <is>
          <t>LYCKSELE</t>
        </is>
      </c>
      <c r="F2022" t="inlineStr">
        <is>
          <t>Sveaskog</t>
        </is>
      </c>
      <c r="G2022" t="n">
        <v>3.2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26199-2025</t>
        </is>
      </c>
      <c r="B2023" s="1" t="n">
        <v>45805</v>
      </c>
      <c r="C2023" s="1" t="n">
        <v>45831</v>
      </c>
      <c r="D2023" t="inlineStr">
        <is>
          <t>VÄSTERBOTTENS LÄN</t>
        </is>
      </c>
      <c r="E2023" t="inlineStr">
        <is>
          <t>LYCKSELE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26398-2025</t>
        </is>
      </c>
      <c r="B2024" s="1" t="n">
        <v>45807</v>
      </c>
      <c r="C2024" s="1" t="n">
        <v>45831</v>
      </c>
      <c r="D2024" t="inlineStr">
        <is>
          <t>VÄSTERBOTTENS LÄN</t>
        </is>
      </c>
      <c r="E2024" t="inlineStr">
        <is>
          <t>LYCKSELE</t>
        </is>
      </c>
      <c r="F2024" t="inlineStr">
        <is>
          <t>Holmen skog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26419-2025</t>
        </is>
      </c>
      <c r="B2025" s="1" t="n">
        <v>45807</v>
      </c>
      <c r="C2025" s="1" t="n">
        <v>45831</v>
      </c>
      <c r="D2025" t="inlineStr">
        <is>
          <t>VÄSTERBOTTENS LÄN</t>
        </is>
      </c>
      <c r="E2025" t="inlineStr">
        <is>
          <t>LYCKSELE</t>
        </is>
      </c>
      <c r="F2025" t="inlineStr">
        <is>
          <t>Sveaskog</t>
        </is>
      </c>
      <c r="G2025" t="n">
        <v>9.4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26422-2025</t>
        </is>
      </c>
      <c r="B2026" s="1" t="n">
        <v>45807</v>
      </c>
      <c r="C2026" s="1" t="n">
        <v>45831</v>
      </c>
      <c r="D2026" t="inlineStr">
        <is>
          <t>VÄSTERBOTTENS LÄN</t>
        </is>
      </c>
      <c r="E2026" t="inlineStr">
        <is>
          <t>LYCKSELE</t>
        </is>
      </c>
      <c r="F2026" t="inlineStr">
        <is>
          <t>Sveaskog</t>
        </is>
      </c>
      <c r="G2026" t="n">
        <v>3.9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26410-2025</t>
        </is>
      </c>
      <c r="B2027" s="1" t="n">
        <v>45807</v>
      </c>
      <c r="C2027" s="1" t="n">
        <v>45831</v>
      </c>
      <c r="D2027" t="inlineStr">
        <is>
          <t>VÄSTERBOTTENS LÄN</t>
        </is>
      </c>
      <c r="E2027" t="inlineStr">
        <is>
          <t>LYCKSELE</t>
        </is>
      </c>
      <c r="F2027" t="inlineStr">
        <is>
          <t>Holmen skog AB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26622-2025</t>
        </is>
      </c>
      <c r="B2028" s="1" t="n">
        <v>45810</v>
      </c>
      <c r="C2028" s="1" t="n">
        <v>45831</v>
      </c>
      <c r="D2028" t="inlineStr">
        <is>
          <t>VÄSTERBOTTENS LÄN</t>
        </is>
      </c>
      <c r="E2028" t="inlineStr">
        <is>
          <t>LYCKSELE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26951-2025</t>
        </is>
      </c>
      <c r="B2029" s="1" t="n">
        <v>45811</v>
      </c>
      <c r="C2029" s="1" t="n">
        <v>45831</v>
      </c>
      <c r="D2029" t="inlineStr">
        <is>
          <t>VÄSTERBOTTENS LÄN</t>
        </is>
      </c>
      <c r="E2029" t="inlineStr">
        <is>
          <t>LYCKSELE</t>
        </is>
      </c>
      <c r="F2029" t="inlineStr">
        <is>
          <t>Holmen skog AB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27080-2025</t>
        </is>
      </c>
      <c r="B2030" s="1" t="n">
        <v>45811</v>
      </c>
      <c r="C2030" s="1" t="n">
        <v>45831</v>
      </c>
      <c r="D2030" t="inlineStr">
        <is>
          <t>VÄSTERBOTTENS LÄN</t>
        </is>
      </c>
      <c r="E2030" t="inlineStr">
        <is>
          <t>LYCKSELE</t>
        </is>
      </c>
      <c r="F2030" t="inlineStr">
        <is>
          <t>Holmen skog AB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26893-2025</t>
        </is>
      </c>
      <c r="B2031" s="1" t="n">
        <v>45811</v>
      </c>
      <c r="C2031" s="1" t="n">
        <v>45831</v>
      </c>
      <c r="D2031" t="inlineStr">
        <is>
          <t>VÄSTERBOTTENS LÄN</t>
        </is>
      </c>
      <c r="E2031" t="inlineStr">
        <is>
          <t>LYCKSELE</t>
        </is>
      </c>
      <c r="F2031" t="inlineStr">
        <is>
          <t>Holmen skog AB</t>
        </is>
      </c>
      <c r="G2031" t="n">
        <v>22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27072-2025</t>
        </is>
      </c>
      <c r="B2032" s="1" t="n">
        <v>45811</v>
      </c>
      <c r="C2032" s="1" t="n">
        <v>45831</v>
      </c>
      <c r="D2032" t="inlineStr">
        <is>
          <t>VÄSTERBOTTENS LÄN</t>
        </is>
      </c>
      <c r="E2032" t="inlineStr">
        <is>
          <t>LYCKSELE</t>
        </is>
      </c>
      <c r="F2032" t="inlineStr">
        <is>
          <t>Sveaskog</t>
        </is>
      </c>
      <c r="G2032" t="n">
        <v>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27306-2025</t>
        </is>
      </c>
      <c r="B2033" s="1" t="n">
        <v>45812</v>
      </c>
      <c r="C2033" s="1" t="n">
        <v>45831</v>
      </c>
      <c r="D2033" t="inlineStr">
        <is>
          <t>VÄSTERBOTTENS LÄN</t>
        </is>
      </c>
      <c r="E2033" t="inlineStr">
        <is>
          <t>LYCKSELE</t>
        </is>
      </c>
      <c r="F2033" t="inlineStr">
        <is>
          <t>SCA</t>
        </is>
      </c>
      <c r="G2033" t="n">
        <v>7.1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27595-2025</t>
        </is>
      </c>
      <c r="B2034" s="1" t="n">
        <v>45813</v>
      </c>
      <c r="C2034" s="1" t="n">
        <v>45831</v>
      </c>
      <c r="D2034" t="inlineStr">
        <is>
          <t>VÄSTERBOTTENS LÄN</t>
        </is>
      </c>
      <c r="E2034" t="inlineStr">
        <is>
          <t>LYCKSELE</t>
        </is>
      </c>
      <c r="G2034" t="n">
        <v>10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27564-2025</t>
        </is>
      </c>
      <c r="B2035" s="1" t="n">
        <v>45813</v>
      </c>
      <c r="C2035" s="1" t="n">
        <v>45831</v>
      </c>
      <c r="D2035" t="inlineStr">
        <is>
          <t>VÄSTERBOTTENS LÄN</t>
        </is>
      </c>
      <c r="E2035" t="inlineStr">
        <is>
          <t>LYCKSELE</t>
        </is>
      </c>
      <c r="G2035" t="n">
        <v>6.7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27637-2025</t>
        </is>
      </c>
      <c r="B2036" s="1" t="n">
        <v>45813</v>
      </c>
      <c r="C2036" s="1" t="n">
        <v>45831</v>
      </c>
      <c r="D2036" t="inlineStr">
        <is>
          <t>VÄSTERBOTTENS LÄN</t>
        </is>
      </c>
      <c r="E2036" t="inlineStr">
        <is>
          <t>LYCKSELE</t>
        </is>
      </c>
      <c r="F2036" t="inlineStr">
        <is>
          <t>Holmen skog AB</t>
        </is>
      </c>
      <c r="G2036" t="n">
        <v>8.5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27643-2025</t>
        </is>
      </c>
      <c r="B2037" s="1" t="n">
        <v>45813</v>
      </c>
      <c r="C2037" s="1" t="n">
        <v>45831</v>
      </c>
      <c r="D2037" t="inlineStr">
        <is>
          <t>VÄSTERBOTTENS LÄN</t>
        </is>
      </c>
      <c r="E2037" t="inlineStr">
        <is>
          <t>LYCKSELE</t>
        </is>
      </c>
      <c r="F2037" t="inlineStr">
        <is>
          <t>SCA</t>
        </is>
      </c>
      <c r="G2037" t="n">
        <v>6.3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27588-2025</t>
        </is>
      </c>
      <c r="B2038" s="1" t="n">
        <v>45813</v>
      </c>
      <c r="C2038" s="1" t="n">
        <v>45831</v>
      </c>
      <c r="D2038" t="inlineStr">
        <is>
          <t>VÄSTERBOTTENS LÄN</t>
        </is>
      </c>
      <c r="E2038" t="inlineStr">
        <is>
          <t>LYCKSELE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27471-2025</t>
        </is>
      </c>
      <c r="B2039" s="1" t="n">
        <v>45813</v>
      </c>
      <c r="C2039" s="1" t="n">
        <v>45831</v>
      </c>
      <c r="D2039" t="inlineStr">
        <is>
          <t>VÄSTERBOTTENS LÄN</t>
        </is>
      </c>
      <c r="E2039" t="inlineStr">
        <is>
          <t>LYCKSELE</t>
        </is>
      </c>
      <c r="G2039" t="n">
        <v>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27562-2025</t>
        </is>
      </c>
      <c r="B2040" s="1" t="n">
        <v>45813</v>
      </c>
      <c r="C2040" s="1" t="n">
        <v>45831</v>
      </c>
      <c r="D2040" t="inlineStr">
        <is>
          <t>VÄSTERBOTTENS LÄN</t>
        </is>
      </c>
      <c r="E2040" t="inlineStr">
        <is>
          <t>LYCKSELE</t>
        </is>
      </c>
      <c r="G2040" t="n">
        <v>3.8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27610-2025</t>
        </is>
      </c>
      <c r="B2041" s="1" t="n">
        <v>45813</v>
      </c>
      <c r="C2041" s="1" t="n">
        <v>45831</v>
      </c>
      <c r="D2041" t="inlineStr">
        <is>
          <t>VÄSTERBOTTENS LÄN</t>
        </is>
      </c>
      <c r="E2041" t="inlineStr">
        <is>
          <t>LYCKSELE</t>
        </is>
      </c>
      <c r="F2041" t="inlineStr">
        <is>
          <t>Holmen skog AB</t>
        </is>
      </c>
      <c r="G2041" t="n">
        <v>15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27735-2025</t>
        </is>
      </c>
      <c r="B2042" s="1" t="n">
        <v>45815</v>
      </c>
      <c r="C2042" s="1" t="n">
        <v>45831</v>
      </c>
      <c r="D2042" t="inlineStr">
        <is>
          <t>VÄSTERBOTTENS LÄN</t>
        </is>
      </c>
      <c r="E2042" t="inlineStr">
        <is>
          <t>LYCKSELE</t>
        </is>
      </c>
      <c r="G2042" t="n">
        <v>7.9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27736-2025</t>
        </is>
      </c>
      <c r="B2043" s="1" t="n">
        <v>45815</v>
      </c>
      <c r="C2043" s="1" t="n">
        <v>45831</v>
      </c>
      <c r="D2043" t="inlineStr">
        <is>
          <t>VÄSTERBOTTENS LÄN</t>
        </is>
      </c>
      <c r="E2043" t="inlineStr">
        <is>
          <t>LYCKSELE</t>
        </is>
      </c>
      <c r="G2043" t="n">
        <v>6.8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28170-2025</t>
        </is>
      </c>
      <c r="B2044" s="1" t="n">
        <v>45818</v>
      </c>
      <c r="C2044" s="1" t="n">
        <v>45831</v>
      </c>
      <c r="D2044" t="inlineStr">
        <is>
          <t>VÄSTERBOTTENS LÄN</t>
        </is>
      </c>
      <c r="E2044" t="inlineStr">
        <is>
          <t>LYCKSELE</t>
        </is>
      </c>
      <c r="F2044" t="inlineStr">
        <is>
          <t>Sveaskog</t>
        </is>
      </c>
      <c r="G2044" t="n">
        <v>12.6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28306-2025</t>
        </is>
      </c>
      <c r="B2045" s="1" t="n">
        <v>45818</v>
      </c>
      <c r="C2045" s="1" t="n">
        <v>45831</v>
      </c>
      <c r="D2045" t="inlineStr">
        <is>
          <t>VÄSTERBOTTENS LÄN</t>
        </is>
      </c>
      <c r="E2045" t="inlineStr">
        <is>
          <t>LYCKSELE</t>
        </is>
      </c>
      <c r="F2045" t="inlineStr">
        <is>
          <t>Sveaskog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28345-2025</t>
        </is>
      </c>
      <c r="B2046" s="1" t="n">
        <v>45818</v>
      </c>
      <c r="C2046" s="1" t="n">
        <v>45831</v>
      </c>
      <c r="D2046" t="inlineStr">
        <is>
          <t>VÄSTERBOTTENS LÄN</t>
        </is>
      </c>
      <c r="E2046" t="inlineStr">
        <is>
          <t>LYCKSELE</t>
        </is>
      </c>
      <c r="F2046" t="inlineStr">
        <is>
          <t>Holmen skog AB</t>
        </is>
      </c>
      <c r="G2046" t="n">
        <v>16.9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28486-2025</t>
        </is>
      </c>
      <c r="B2047" s="1" t="n">
        <v>45819</v>
      </c>
      <c r="C2047" s="1" t="n">
        <v>45831</v>
      </c>
      <c r="D2047" t="inlineStr">
        <is>
          <t>VÄSTERBOTTENS LÄN</t>
        </is>
      </c>
      <c r="E2047" t="inlineStr">
        <is>
          <t>LYCKSELE</t>
        </is>
      </c>
      <c r="F2047" t="inlineStr">
        <is>
          <t>Holmen skog AB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28726-2025</t>
        </is>
      </c>
      <c r="B2048" s="1" t="n">
        <v>45820</v>
      </c>
      <c r="C2048" s="1" t="n">
        <v>45831</v>
      </c>
      <c r="D2048" t="inlineStr">
        <is>
          <t>VÄSTERBOTTENS LÄN</t>
        </is>
      </c>
      <c r="E2048" t="inlineStr">
        <is>
          <t>LYCKSELE</t>
        </is>
      </c>
      <c r="F2048" t="inlineStr">
        <is>
          <t>SCA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28825-2025</t>
        </is>
      </c>
      <c r="B2049" s="1" t="n">
        <v>45820</v>
      </c>
      <c r="C2049" s="1" t="n">
        <v>45831</v>
      </c>
      <c r="D2049" t="inlineStr">
        <is>
          <t>VÄSTERBOTTENS LÄN</t>
        </is>
      </c>
      <c r="E2049" t="inlineStr">
        <is>
          <t>LYCKSELE</t>
        </is>
      </c>
      <c r="F2049" t="inlineStr">
        <is>
          <t>Sveaskog</t>
        </is>
      </c>
      <c r="G2049" t="n">
        <v>11.9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28826-2025</t>
        </is>
      </c>
      <c r="B2050" s="1" t="n">
        <v>45820</v>
      </c>
      <c r="C2050" s="1" t="n">
        <v>45831</v>
      </c>
      <c r="D2050" t="inlineStr">
        <is>
          <t>VÄSTERBOTTENS LÄN</t>
        </is>
      </c>
      <c r="E2050" t="inlineStr">
        <is>
          <t>LYCKSELE</t>
        </is>
      </c>
      <c r="F2050" t="inlineStr">
        <is>
          <t>Sveaskog</t>
        </is>
      </c>
      <c r="G2050" t="n">
        <v>5.7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28833-2025</t>
        </is>
      </c>
      <c r="B2051" s="1" t="n">
        <v>45820</v>
      </c>
      <c r="C2051" s="1" t="n">
        <v>45831</v>
      </c>
      <c r="D2051" t="inlineStr">
        <is>
          <t>VÄSTERBOTTENS LÄN</t>
        </is>
      </c>
      <c r="E2051" t="inlineStr">
        <is>
          <t>LYCKSELE</t>
        </is>
      </c>
      <c r="F2051" t="inlineStr">
        <is>
          <t>Sveaskog</t>
        </is>
      </c>
      <c r="G2051" t="n">
        <v>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29045-2025</t>
        </is>
      </c>
      <c r="B2052" s="1" t="n">
        <v>45821</v>
      </c>
      <c r="C2052" s="1" t="n">
        <v>45831</v>
      </c>
      <c r="D2052" t="inlineStr">
        <is>
          <t>VÄSTERBOTTENS LÄN</t>
        </is>
      </c>
      <c r="E2052" t="inlineStr">
        <is>
          <t>LYCKSELE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29095-2025</t>
        </is>
      </c>
      <c r="B2053" s="1" t="n">
        <v>45821</v>
      </c>
      <c r="C2053" s="1" t="n">
        <v>45831</v>
      </c>
      <c r="D2053" t="inlineStr">
        <is>
          <t>VÄSTERBOTTENS LÄN</t>
        </is>
      </c>
      <c r="E2053" t="inlineStr">
        <is>
          <t>LYCKSELE</t>
        </is>
      </c>
      <c r="F2053" t="inlineStr">
        <is>
          <t>Holmen skog AB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29034-2025</t>
        </is>
      </c>
      <c r="B2054" s="1" t="n">
        <v>45821</v>
      </c>
      <c r="C2054" s="1" t="n">
        <v>45831</v>
      </c>
      <c r="D2054" t="inlineStr">
        <is>
          <t>VÄSTERBOTTENS LÄN</t>
        </is>
      </c>
      <c r="E2054" t="inlineStr">
        <is>
          <t>LYCKSELE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29088-2025</t>
        </is>
      </c>
      <c r="B2055" s="1" t="n">
        <v>45821</v>
      </c>
      <c r="C2055" s="1" t="n">
        <v>45831</v>
      </c>
      <c r="D2055" t="inlineStr">
        <is>
          <t>VÄSTERBOTTENS LÄN</t>
        </is>
      </c>
      <c r="E2055" t="inlineStr">
        <is>
          <t>LYCKSELE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29123-2025</t>
        </is>
      </c>
      <c r="B2056" s="1" t="n">
        <v>45821</v>
      </c>
      <c r="C2056" s="1" t="n">
        <v>45831</v>
      </c>
      <c r="D2056" t="inlineStr">
        <is>
          <t>VÄSTERBOTTENS LÄN</t>
        </is>
      </c>
      <c r="E2056" t="inlineStr">
        <is>
          <t>LYCKSELE</t>
        </is>
      </c>
      <c r="G2056" t="n">
        <v>5.2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29195-2025</t>
        </is>
      </c>
      <c r="B2057" s="1" t="n">
        <v>45823</v>
      </c>
      <c r="C2057" s="1" t="n">
        <v>45831</v>
      </c>
      <c r="D2057" t="inlineStr">
        <is>
          <t>VÄSTERBOTTENS LÄN</t>
        </is>
      </c>
      <c r="E2057" t="inlineStr">
        <is>
          <t>LYCKSELE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29236-2025</t>
        </is>
      </c>
      <c r="B2058" s="1" t="n">
        <v>45824</v>
      </c>
      <c r="C2058" s="1" t="n">
        <v>45831</v>
      </c>
      <c r="D2058" t="inlineStr">
        <is>
          <t>VÄSTERBOTTENS LÄN</t>
        </is>
      </c>
      <c r="E2058" t="inlineStr">
        <is>
          <t>LYCKSELE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29438-2025</t>
        </is>
      </c>
      <c r="B2059" s="1" t="n">
        <v>45824</v>
      </c>
      <c r="C2059" s="1" t="n">
        <v>45831</v>
      </c>
      <c r="D2059" t="inlineStr">
        <is>
          <t>VÄSTERBOTTENS LÄN</t>
        </is>
      </c>
      <c r="E2059" t="inlineStr">
        <is>
          <t>LYCKSELE</t>
        </is>
      </c>
      <c r="G2059" t="n">
        <v>4.5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29235-2025</t>
        </is>
      </c>
      <c r="B2060" s="1" t="n">
        <v>45824</v>
      </c>
      <c r="C2060" s="1" t="n">
        <v>45831</v>
      </c>
      <c r="D2060" t="inlineStr">
        <is>
          <t>VÄSTERBOTTENS LÄN</t>
        </is>
      </c>
      <c r="E2060" t="inlineStr">
        <is>
          <t>LYCKSELE</t>
        </is>
      </c>
      <c r="G2060" t="n">
        <v>3.3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29709-2025</t>
        </is>
      </c>
      <c r="B2061" s="1" t="n">
        <v>45825</v>
      </c>
      <c r="C2061" s="1" t="n">
        <v>45831</v>
      </c>
      <c r="D2061" t="inlineStr">
        <is>
          <t>VÄSTERBOTTENS LÄN</t>
        </is>
      </c>
      <c r="E2061" t="inlineStr">
        <is>
          <t>LYCKSELE</t>
        </is>
      </c>
      <c r="F2061" t="inlineStr">
        <is>
          <t>Holmen skog AB</t>
        </is>
      </c>
      <c r="G2061" t="n">
        <v>52.4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29784-2025</t>
        </is>
      </c>
      <c r="B2062" s="1" t="n">
        <v>45825</v>
      </c>
      <c r="C2062" s="1" t="n">
        <v>45831</v>
      </c>
      <c r="D2062" t="inlineStr">
        <is>
          <t>VÄSTERBOTTENS LÄN</t>
        </is>
      </c>
      <c r="E2062" t="inlineStr">
        <is>
          <t>LYCKSELE</t>
        </is>
      </c>
      <c r="F2062" t="inlineStr">
        <is>
          <t>Holmen skog AB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30101-2025</t>
        </is>
      </c>
      <c r="B2063" s="1" t="n">
        <v>45826</v>
      </c>
      <c r="C2063" s="1" t="n">
        <v>45831</v>
      </c>
      <c r="D2063" t="inlineStr">
        <is>
          <t>VÄSTERBOTTENS LÄN</t>
        </is>
      </c>
      <c r="E2063" t="inlineStr">
        <is>
          <t>LYCKSELE</t>
        </is>
      </c>
      <c r="F2063" t="inlineStr">
        <is>
          <t>Holmen skog AB</t>
        </is>
      </c>
      <c r="G2063" t="n">
        <v>8.1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29866-2025</t>
        </is>
      </c>
      <c r="B2064" s="1" t="n">
        <v>45826</v>
      </c>
      <c r="C2064" s="1" t="n">
        <v>45831</v>
      </c>
      <c r="D2064" t="inlineStr">
        <is>
          <t>VÄSTERBOTTENS LÄN</t>
        </is>
      </c>
      <c r="E2064" t="inlineStr">
        <is>
          <t>LYCKSELE</t>
        </is>
      </c>
      <c r="F2064" t="inlineStr">
        <is>
          <t>Holmen skog AB</t>
        </is>
      </c>
      <c r="G2064" t="n">
        <v>6.7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30154-2025</t>
        </is>
      </c>
      <c r="B2065" s="1" t="n">
        <v>45827</v>
      </c>
      <c r="C2065" s="1" t="n">
        <v>45831</v>
      </c>
      <c r="D2065" t="inlineStr">
        <is>
          <t>VÄSTERBOTTENS LÄN</t>
        </is>
      </c>
      <c r="E2065" t="inlineStr">
        <is>
          <t>LYCKSELE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30258-2025</t>
        </is>
      </c>
      <c r="B2066" s="1" t="n">
        <v>45827</v>
      </c>
      <c r="C2066" s="1" t="n">
        <v>45831</v>
      </c>
      <c r="D2066" t="inlineStr">
        <is>
          <t>VÄSTERBOTTENS LÄN</t>
        </is>
      </c>
      <c r="E2066" t="inlineStr">
        <is>
          <t>LYCKSELE</t>
        </is>
      </c>
      <c r="F2066" t="inlineStr">
        <is>
          <t>Holmen skog AB</t>
        </is>
      </c>
      <c r="G2066" t="n">
        <v>19.5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30336-2025</t>
        </is>
      </c>
      <c r="B2067" s="1" t="n">
        <v>45827</v>
      </c>
      <c r="C2067" s="1" t="n">
        <v>45831</v>
      </c>
      <c r="D2067" t="inlineStr">
        <is>
          <t>VÄSTERBOTTENS LÄN</t>
        </is>
      </c>
      <c r="E2067" t="inlineStr">
        <is>
          <t>LYCKSELE</t>
        </is>
      </c>
      <c r="F2067" t="inlineStr">
        <is>
          <t>SCA</t>
        </is>
      </c>
      <c r="G2067" t="n">
        <v>5.2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30385-2025</t>
        </is>
      </c>
      <c r="B2068" s="1" t="n">
        <v>45827</v>
      </c>
      <c r="C2068" s="1" t="n">
        <v>45831</v>
      </c>
      <c r="D2068" t="inlineStr">
        <is>
          <t>VÄSTERBOTTENS LÄN</t>
        </is>
      </c>
      <c r="E2068" t="inlineStr">
        <is>
          <t>LYCKSELE</t>
        </is>
      </c>
      <c r="F2068" t="inlineStr">
        <is>
          <t>Sveaskog</t>
        </is>
      </c>
      <c r="G2068" t="n">
        <v>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>
      <c r="A2069" t="inlineStr">
        <is>
          <t>A 30426-2025</t>
        </is>
      </c>
      <c r="B2069" s="1" t="n">
        <v>45827</v>
      </c>
      <c r="C2069" s="1" t="n">
        <v>45831</v>
      </c>
      <c r="D2069" t="inlineStr">
        <is>
          <t>VÄSTERBOTTENS LÄN</t>
        </is>
      </c>
      <c r="E2069" t="inlineStr">
        <is>
          <t>LYCKSELE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2025-06-23T19:21:11Z</dcterms:created>
  <dcterms:modified xmlns:dcterms="http://purl.org/dc/terms/" xmlns:xsi="http://www.w3.org/2001/XMLSchema-instance" xsi:type="dcterms:W3CDTF">2025-06-23T19:21:13Z</dcterms:modified>
</cp:coreProperties>
</file>