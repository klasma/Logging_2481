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45646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45646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45646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45646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45646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45646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45646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45646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45646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45646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45646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45646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45646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45646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45646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45646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45646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45646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45646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54802-2024</t>
        </is>
      </c>
      <c r="B86" s="1" t="n">
        <v>45618</v>
      </c>
      <c r="C86" s="1" t="n">
        <v>45646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6.2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Doftticka
Blå taggsvamp
Dropptaggsvamp</t>
        </is>
      </c>
      <c r="S86">
        <f>HYPERLINK("https://klasma.github.io/Logging_2481/artfynd/A 54802-2024 artfynd.xlsx", "A 54802-2024")</f>
        <v/>
      </c>
      <c r="T86">
        <f>HYPERLINK("https://klasma.github.io/Logging_2481/kartor/A 54802-2024 karta.png", "A 54802-2024")</f>
        <v/>
      </c>
      <c r="V86">
        <f>HYPERLINK("https://klasma.github.io/Logging_2481/klagomål/A 54802-2024 FSC-klagomål.docx", "A 54802-2024")</f>
        <v/>
      </c>
      <c r="W86">
        <f>HYPERLINK("https://klasma.github.io/Logging_2481/klagomålsmail/A 54802-2024 FSC-klagomål mail.docx", "A 54802-2024")</f>
        <v/>
      </c>
      <c r="X86">
        <f>HYPERLINK("https://klasma.github.io/Logging_2481/tillsyn/A 54802-2024 tillsynsbegäran.docx", "A 54802-2024")</f>
        <v/>
      </c>
      <c r="Y86">
        <f>HYPERLINK("https://klasma.github.io/Logging_2481/tillsynsmail/A 54802-2024 tillsynsbegäran mail.docx", "A 54802-2024")</f>
        <v/>
      </c>
    </row>
    <row r="87" ht="15" customHeight="1">
      <c r="A87" t="inlineStr">
        <is>
          <t>A 55046-2024</t>
        </is>
      </c>
      <c r="B87" s="1" t="n">
        <v>45618</v>
      </c>
      <c r="C87" s="1" t="n">
        <v>45646</v>
      </c>
      <c r="D87" t="inlineStr">
        <is>
          <t>VÄSTERBOTTENS LÄN</t>
        </is>
      </c>
      <c r="E87" t="inlineStr">
        <is>
          <t>LYCKSELE</t>
        </is>
      </c>
      <c r="G87" t="n">
        <v>2.4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Tretåig hackspett
Vitgrynig nållav</t>
        </is>
      </c>
      <c r="S87">
        <f>HYPERLINK("https://klasma.github.io/Logging_2481/artfynd/A 55046-2024 artfynd.xlsx", "A 55046-2024")</f>
        <v/>
      </c>
      <c r="T87">
        <f>HYPERLINK("https://klasma.github.io/Logging_2481/kartor/A 55046-2024 karta.png", "A 55046-2024")</f>
        <v/>
      </c>
      <c r="V87">
        <f>HYPERLINK("https://klasma.github.io/Logging_2481/klagomål/A 55046-2024 FSC-klagomål.docx", "A 55046-2024")</f>
        <v/>
      </c>
      <c r="W87">
        <f>HYPERLINK("https://klasma.github.io/Logging_2481/klagomålsmail/A 55046-2024 FSC-klagomål mail.docx", "A 55046-2024")</f>
        <v/>
      </c>
      <c r="X87">
        <f>HYPERLINK("https://klasma.github.io/Logging_2481/tillsyn/A 55046-2024 tillsynsbegäran.docx", "A 55046-2024")</f>
        <v/>
      </c>
      <c r="Y87">
        <f>HYPERLINK("https://klasma.github.io/Logging_2481/tillsynsmail/A 55046-2024 tillsynsbegäran mail.docx", "A 55046-2024")</f>
        <v/>
      </c>
      <c r="Z87">
        <f>HYPERLINK("https://klasma.github.io/Logging_2481/fåglar/A 55046-2024 prioriterade fågelarter.docx", "A 55046-2024")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45646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45646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45646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45646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45646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45646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45646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45646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45646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45646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45646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45646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45646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45646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45646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45646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45646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45646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45646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45646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45646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45646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45646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45646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45646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45646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45646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45646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45646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45646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45646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45646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45646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45646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45646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45646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45646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45646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45646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45646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45646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45646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45646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45646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45646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45646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45646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45646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45646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45646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45646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45646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45646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45646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45646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45646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45646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45646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45646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45646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45646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45646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45646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45646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45646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45646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45646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45646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45646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45646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45646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45646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45646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45646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45646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45646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45646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45646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45646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45646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45646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45646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45646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45646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45646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45646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45646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45646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45646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45646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45646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45646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45646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45646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45646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45646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45646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45646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45646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45646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45646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45646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45646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45646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45646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45646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45646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45646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45646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45646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45646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45646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45646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45646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45646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45646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45646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45646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45646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45646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45646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45646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45646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45646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45646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45646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45646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45646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45646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45646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45646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45646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45646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45646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45646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45646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45646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45646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45646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45646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45646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45646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45646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45646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45646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45646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45646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45646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45646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45646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45646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45646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45646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45646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45646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45646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45646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45646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45646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45646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45646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45646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45646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45646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45646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45646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45646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45646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45646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45646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45646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45646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45646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45646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45646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45646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45646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45646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45646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45646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45646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45646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45646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45646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45646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45646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45646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45646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45646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45646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45646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45646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45646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45646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45646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45646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45646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45646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45646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45646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45646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45646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45646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45646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45646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45646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45646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45646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45646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45646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45646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45646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45646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45646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45646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45646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45646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45646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45646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45646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45646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45646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45646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45646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45646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45646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45646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45646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45646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45646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45646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45646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45646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45646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45646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45646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45646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45646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45646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45646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45646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45646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45646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45646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45646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45646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45646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45646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45646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45646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45646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45646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45646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45646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45646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45646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45646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45646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45646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45646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45646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45646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45646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45646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45646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45646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45646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45646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45646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45646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45646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45646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45646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45646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45646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45646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45646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45646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45646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45646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45646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45646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45646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45646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45646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45646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45646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45646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45646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45646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45646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45646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45646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45646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45646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45646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45646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45646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45646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45646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45646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45646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45646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45646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45646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45646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45646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45646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45646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45646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45646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45646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45646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45646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45646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45646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45646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45646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45646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45646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45646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45646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45646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45646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45646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45646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45646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45646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45646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45646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45646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45646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45646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45646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45646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45646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45646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45646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45646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45646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45646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45646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45646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45646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45646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45646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45646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45646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45646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45646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45646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45646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45646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45646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45646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45646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45646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45646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45646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45646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45646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45646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45646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45646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45646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45646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45646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45646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45646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45646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45646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45646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45646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45646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45646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45646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45646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45646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45646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45646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45646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45646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45646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45646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45646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45646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45646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45646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45646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45646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45646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45646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45646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45646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45646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45646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45646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45646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45646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45646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45646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45646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45646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45646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45646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45646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45646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45646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45646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45646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45646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45646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45646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45646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45646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45646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45646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45646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45646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45646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45646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45646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45646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45646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45646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45646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45646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45646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45646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45646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45646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45646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45646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45646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45646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45646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45646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45646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45646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45646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45646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45646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45646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45646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45646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45646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45646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45646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45646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45646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45646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45646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45646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45646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45646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45646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45646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45646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45646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45646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45646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45646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45646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45646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45646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45646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45646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45646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45646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45646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45646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45646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45646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45646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45646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45646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45646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45646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45646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45646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45646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45646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45646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45646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45646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45646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45646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45646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45646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45646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45646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45646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45646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45646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45646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45646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45646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45646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45646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45646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45646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45646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45646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45646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45646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45646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45646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45646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45646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45646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45646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45646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45646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45646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45646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45646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45646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45646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45646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45646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45646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45646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45646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45646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45646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45646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45646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45646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45646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45646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45646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45646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45646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45646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45646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45646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45646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45646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45646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45646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45646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45646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45646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45646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45646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45646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45646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45646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45646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45646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45646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45646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45646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45646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45646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45646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45646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45646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45646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45646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45646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45646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45646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45646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45646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45646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45646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45646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45646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45646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45646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45646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45646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45646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45646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45646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45646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45646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45646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45646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45646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45646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45646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45646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45646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45646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45646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45646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45646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45646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45646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45646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45646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45646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45646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45646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45646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45646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45646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45646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45646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45646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45646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45646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45646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45646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45646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45646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45646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45646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45646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45646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45646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45646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45646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45646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45646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45646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45646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45646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45646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45646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45646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45646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45646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45646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45646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45646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45646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45646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45646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45646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45646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45646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45646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45646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45646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45646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45646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45646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45646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45646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45646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45646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45646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45646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45646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45646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45646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45646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45646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45646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45646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45646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45646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45646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45646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45646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45646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45646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45646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45646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45646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45646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45646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45646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45646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45646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45646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45646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45646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45646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45646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45646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45646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45646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45646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45646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45646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45646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45646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45646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45646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45646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45646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45646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45646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45646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45646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45646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45646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45646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45646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45646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45646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45646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45646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45646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45646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45646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45646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45646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45646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45646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45646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45646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45646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45646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45646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45646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45646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45646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45646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45646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45646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45646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45646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45646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45646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45646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45646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45646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45646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45646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45646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45646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45646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45646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45646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45646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45646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45646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45646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45646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45646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45646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45646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45646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45646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45646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45646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45646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45646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45646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45646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45646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45646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45646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45646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45646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45646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45646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45646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45646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45646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45646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45646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45646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45646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45646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45646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45646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45646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45646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45646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45646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45646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45646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45646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45646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45646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45646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45646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45646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45646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45646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45646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45646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45646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45646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45646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45646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45646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45646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45646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45646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45646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45646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45646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45646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45646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45646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45646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45646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45646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45646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45646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45646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45646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45646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45646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45646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45646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45646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45646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45646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45646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45646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45646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45646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45646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45646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45646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45646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45646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45646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45646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45646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45646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45646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45646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45646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45646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45646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45646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45646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45646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45646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45646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45646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45646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45646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45646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45646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45646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45646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45646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45646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45646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45646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45646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45646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45646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45646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45646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45646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45646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45646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45646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45646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45646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45646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45646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45646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45646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45646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45646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45646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45646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45646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45646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45646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45646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45646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45646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45646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45646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45646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45646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45646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45646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45646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45646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45646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45646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45646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45646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45646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45646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45646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45646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45646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45646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45646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45646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45646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45646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45646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45646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45646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45646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45646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45646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45646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45646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45646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45646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45646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45646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45646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45646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45646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45646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45646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45646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45646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45646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45646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45646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45646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45646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45646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45646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45646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45646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45646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45646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45646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45646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45646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45646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45646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45646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45646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45646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45646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45646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45646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45646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45646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45646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45646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45646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45646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45646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45646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45646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45646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45646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45646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45646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45646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45646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45646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45646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45646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45646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45646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45646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45646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45646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45646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45646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45646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45646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45646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45646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45646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45646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45646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45646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45646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45646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45646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45646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45646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45646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45646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45646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45646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45646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45646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45646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45646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45646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45646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45646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45646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45646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45646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45646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45646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45646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45646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45646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45646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45646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45646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45646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45646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45646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45646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45646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45646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45646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45646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45646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45646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45646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45646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45646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45646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45646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45646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45646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45646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45646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45646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45646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45646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45646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45646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45646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45646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45646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45646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45646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45646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45646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45646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45646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45646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45646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45646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45646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45646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45646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45646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45646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45646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45646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45646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45646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45646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45646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45646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45646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45646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45646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45646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45646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45646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45646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45646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45646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45646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45646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45646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45646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45646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45646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45646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45646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45646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45646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45646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45646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45646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45646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45646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45646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45646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45646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45646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45646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45646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45646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45646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45646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45646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45646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45646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45646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45646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45646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45646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45646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45646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45646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45646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45646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45646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45646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45646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45646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45646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45646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45646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45646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45646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45646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45646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45646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45646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45646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45646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45646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45646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45646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45646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45646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45646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45646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45646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45646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45646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45646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45646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45646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45646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45646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45646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45646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45646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45646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45646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45646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45646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45646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45646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45646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45646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45646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45646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45646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45646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45646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45646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45646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45646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45646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45646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45646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45646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45646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45646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45646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45646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45646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45646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45646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45646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45646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45646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45646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45646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45646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45646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45646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45646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45646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45646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45646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45646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45646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45646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45646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45646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45646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45646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45646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45646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45646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45646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45646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45646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45646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45646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45646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45646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45646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45646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45646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45646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45646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45646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45646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45646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45646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45646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45646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45646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45646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45646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45646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45646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45646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45646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45646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45646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45646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45646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45646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45646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45646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45646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45646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45646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45646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45646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45646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45646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45646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45646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45646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45646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45646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45646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45646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45646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45646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45646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45646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45646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45646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45646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45646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45646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45646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45646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45646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45646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45646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45646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45646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45646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45646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45646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45646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45646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45646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45646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45646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45646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45646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45646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45646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45646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45646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45646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45646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45646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45646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45646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45646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45646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45646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45646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45646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45646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45646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45646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45646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45646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45646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45646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45646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45646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45646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45646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45646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45646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45646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45646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45646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45646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45646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45646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45646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45646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45646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45646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45646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45646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45646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45646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45646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45646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45646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45646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45646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45646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45646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45646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45646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45646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45646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45646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45646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45646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45646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45646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45646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45646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45646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45646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45646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45646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45646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45646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45646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45646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45646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45646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45646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45646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45646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45646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45646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45646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45646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45646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45646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45646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45646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45646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45646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45646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45646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45646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45646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45646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45646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45646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45646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45646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45646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45646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45646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45646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45646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45646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45646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45646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45646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45646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45646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45646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45646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45646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45646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45646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45646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45646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45646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45646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45646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45646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45646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45646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45646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45646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45646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45646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45646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45646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45646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45646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45646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45646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45646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45646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45646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45646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45646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45646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45646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45646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45646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45646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45646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45646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45646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45646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45646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45646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45646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45646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45646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45646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45646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45646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45646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45646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45646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45646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45646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45646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45646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45646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45646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45646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45646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45646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45646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45646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45646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45646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45646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45646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45646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45646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45646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45646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45646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45646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45646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45646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45646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45646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45646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45646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45646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45646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45646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45646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45646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45646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45646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45646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45646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45646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45646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45646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45646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45646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45646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45646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45646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45646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45646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45646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45646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45646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45646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45646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45646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45646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45646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45646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45646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45646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45646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45646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45646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45646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45646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45646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45646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45646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45646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45646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45646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45646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45646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45646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45646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45646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45646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45646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45646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45646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45646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45646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45646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45646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45646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45646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45646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45646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45646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45646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45646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45646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45646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45646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45646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45646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45646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45646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45646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45646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45646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45646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45646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45646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45646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45646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45646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45646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45646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45646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45646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45646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45646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45646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45646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45646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45646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45646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45646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45646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45646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45646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45646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45646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45646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45646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45646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45646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45646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45646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45646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45646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45646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45646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45646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45646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45646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45646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45646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45646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45646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45646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45646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45646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45646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45646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45646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45646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45646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45646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45646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45646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45646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45646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45646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45646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45646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45646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45646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45646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45646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45646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45646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45646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45646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45646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45646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45646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45646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45646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45646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45646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45646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45646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45646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45646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45646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45646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45646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45646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45646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45646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45646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45646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45646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45646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45646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45646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45646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45646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45646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45646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45646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45646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45646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45646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45646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45646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45646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45646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45646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45646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45646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45646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45646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45646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45646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45646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45646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45646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45646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45646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45646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45646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45646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45646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45646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45646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45646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45646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45646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45646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45646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45646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45646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45646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45646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45646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45646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45646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45646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45646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45646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45646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45646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45646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45646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45646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45646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45646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45646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45646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45646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45646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45646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45646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45646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53790-2024</t>
        </is>
      </c>
      <c r="B1720" s="1" t="n">
        <v>45615</v>
      </c>
      <c r="C1720" s="1" t="n">
        <v>45646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53788-2024</t>
        </is>
      </c>
      <c r="B1721" s="1" t="n">
        <v>45615</v>
      </c>
      <c r="C1721" s="1" t="n">
        <v>45646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53874-2024</t>
        </is>
      </c>
      <c r="B1722" s="1" t="n">
        <v>45615</v>
      </c>
      <c r="C1722" s="1" t="n">
        <v>45646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45646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45646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45646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54274-2024</t>
        </is>
      </c>
      <c r="B1727" s="1" t="n">
        <v>45616</v>
      </c>
      <c r="C1727" s="1" t="n">
        <v>45646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45646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53949-2024</t>
        </is>
      </c>
      <c r="B1729" s="1" t="n">
        <v>45616</v>
      </c>
      <c r="C1729" s="1" t="n">
        <v>45646</v>
      </c>
      <c r="D1729" t="inlineStr">
        <is>
          <t>VÄSTERBOTTENS LÄN</t>
        </is>
      </c>
      <c r="E1729" t="inlineStr">
        <is>
          <t>LYCKSELE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54205-2024</t>
        </is>
      </c>
      <c r="B1730" s="1" t="n">
        <v>45616</v>
      </c>
      <c r="C1730" s="1" t="n">
        <v>45646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54268-2024</t>
        </is>
      </c>
      <c r="B1731" s="1" t="n">
        <v>45616</v>
      </c>
      <c r="C1731" s="1" t="n">
        <v>45646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54275-2024</t>
        </is>
      </c>
      <c r="B1732" s="1" t="n">
        <v>45616</v>
      </c>
      <c r="C1732" s="1" t="n">
        <v>45646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45646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54428-2024</t>
        </is>
      </c>
      <c r="B1734" s="1" t="n">
        <v>45617</v>
      </c>
      <c r="C1734" s="1" t="n">
        <v>45646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54396-2024</t>
        </is>
      </c>
      <c r="B1735" s="1" t="n">
        <v>45617</v>
      </c>
      <c r="C1735" s="1" t="n">
        <v>45646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45646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45646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45646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54680-2024</t>
        </is>
      </c>
      <c r="B1739" s="1" t="n">
        <v>45618</v>
      </c>
      <c r="C1739" s="1" t="n">
        <v>45646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54757-2024</t>
        </is>
      </c>
      <c r="B1740" s="1" t="n">
        <v>45618</v>
      </c>
      <c r="C1740" s="1" t="n">
        <v>45646</v>
      </c>
      <c r="D1740" t="inlineStr">
        <is>
          <t>VÄSTERBOTTENS LÄN</t>
        </is>
      </c>
      <c r="E1740" t="inlineStr">
        <is>
          <t>LYCKSELE</t>
        </is>
      </c>
      <c r="G1740" t="n">
        <v>12.8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54809-2024</t>
        </is>
      </c>
      <c r="B1741" s="1" t="n">
        <v>45618</v>
      </c>
      <c r="C1741" s="1" t="n">
        <v>45646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54697-2024</t>
        </is>
      </c>
      <c r="B1742" s="1" t="n">
        <v>45618</v>
      </c>
      <c r="C1742" s="1" t="n">
        <v>45646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54778-2024</t>
        </is>
      </c>
      <c r="B1743" s="1" t="n">
        <v>45618</v>
      </c>
      <c r="C1743" s="1" t="n">
        <v>45646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54811-2024</t>
        </is>
      </c>
      <c r="B1744" s="1" t="n">
        <v>45618</v>
      </c>
      <c r="C1744" s="1" t="n">
        <v>45646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54812-2024</t>
        </is>
      </c>
      <c r="B1745" s="1" t="n">
        <v>45618</v>
      </c>
      <c r="C1745" s="1" t="n">
        <v>45646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55087-2024</t>
        </is>
      </c>
      <c r="B1746" s="1" t="n">
        <v>45621</v>
      </c>
      <c r="C1746" s="1" t="n">
        <v>45646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55104-2024</t>
        </is>
      </c>
      <c r="B1747" s="1" t="n">
        <v>45621</v>
      </c>
      <c r="C1747" s="1" t="n">
        <v>45646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45646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45646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55278-2024</t>
        </is>
      </c>
      <c r="B1750" s="1" t="n">
        <v>45621</v>
      </c>
      <c r="C1750" s="1" t="n">
        <v>45646</v>
      </c>
      <c r="D1750" t="inlineStr">
        <is>
          <t>VÄSTERBOTTENS LÄN</t>
        </is>
      </c>
      <c r="E1750" t="inlineStr">
        <is>
          <t>LYCKSELE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55315-2024</t>
        </is>
      </c>
      <c r="B1751" s="1" t="n">
        <v>45621</v>
      </c>
      <c r="C1751" s="1" t="n">
        <v>45646</v>
      </c>
      <c r="D1751" t="inlineStr">
        <is>
          <t>VÄSTERBOTTENS LÄN</t>
        </is>
      </c>
      <c r="E1751" t="inlineStr">
        <is>
          <t>LYCKSELE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55249-2024</t>
        </is>
      </c>
      <c r="B1752" s="1" t="n">
        <v>45621</v>
      </c>
      <c r="C1752" s="1" t="n">
        <v>45646</v>
      </c>
      <c r="D1752" t="inlineStr">
        <is>
          <t>VÄSTERBOTTENS LÄN</t>
        </is>
      </c>
      <c r="E1752" t="inlineStr">
        <is>
          <t>LYCKSELE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45646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55354-2024</t>
        </is>
      </c>
      <c r="B1754" s="1" t="n">
        <v>45621</v>
      </c>
      <c r="C1754" s="1" t="n">
        <v>45646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45646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56123-2024</t>
        </is>
      </c>
      <c r="B1756" s="1" t="n">
        <v>45624</v>
      </c>
      <c r="C1756" s="1" t="n">
        <v>45646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56605-2024</t>
        </is>
      </c>
      <c r="B1758" s="1" t="n">
        <v>45625</v>
      </c>
      <c r="C1758" s="1" t="n">
        <v>45646</v>
      </c>
      <c r="D1758" t="inlineStr">
        <is>
          <t>VÄSTERBOTTENS LÄN</t>
        </is>
      </c>
      <c r="E1758" t="inlineStr">
        <is>
          <t>LYCKSELE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45646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45646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57087-2024</t>
        </is>
      </c>
      <c r="B1761" s="1" t="n">
        <v>45629</v>
      </c>
      <c r="C1761" s="1" t="n">
        <v>45646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20.8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57109-2024</t>
        </is>
      </c>
      <c r="B1762" s="1" t="n">
        <v>45629</v>
      </c>
      <c r="C1762" s="1" t="n">
        <v>45646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57246-2024</t>
        </is>
      </c>
      <c r="B1763" s="1" t="n">
        <v>45629</v>
      </c>
      <c r="C1763" s="1" t="n">
        <v>45646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57350-2024</t>
        </is>
      </c>
      <c r="B1764" s="1" t="n">
        <v>45629</v>
      </c>
      <c r="C1764" s="1" t="n">
        <v>45646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57108-2024</t>
        </is>
      </c>
      <c r="B1765" s="1" t="n">
        <v>45629</v>
      </c>
      <c r="C1765" s="1" t="n">
        <v>45646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57263-2024</t>
        </is>
      </c>
      <c r="B1766" s="1" t="n">
        <v>45629</v>
      </c>
      <c r="C1766" s="1" t="n">
        <v>45646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45646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57563-2024</t>
        </is>
      </c>
      <c r="B1768" s="1" t="n">
        <v>45630</v>
      </c>
      <c r="C1768" s="1" t="n">
        <v>45646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57471-2024</t>
        </is>
      </c>
      <c r="B1769" s="1" t="n">
        <v>45630</v>
      </c>
      <c r="C1769" s="1" t="n">
        <v>45646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45646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45646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58534-2024</t>
        </is>
      </c>
      <c r="B1772" s="1" t="n">
        <v>45635</v>
      </c>
      <c r="C1772" s="1" t="n">
        <v>45646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45646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45646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58684-2024</t>
        </is>
      </c>
      <c r="B1775" s="1" t="n">
        <v>45635</v>
      </c>
      <c r="C1775" s="1" t="n">
        <v>45646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59174-2024</t>
        </is>
      </c>
      <c r="B1777" s="1" t="n">
        <v>45637</v>
      </c>
      <c r="C1777" s="1" t="n">
        <v>45646</v>
      </c>
      <c r="D1777" t="inlineStr">
        <is>
          <t>VÄSTERBOTTENS LÄN</t>
        </is>
      </c>
      <c r="E1777" t="inlineStr">
        <is>
          <t>LYCKSELE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45646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59168-2024</t>
        </is>
      </c>
      <c r="B1779" s="1" t="n">
        <v>45637</v>
      </c>
      <c r="C1779" s="1" t="n">
        <v>45646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45646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45646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45646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45646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60482-2024</t>
        </is>
      </c>
      <c r="B1784" s="1" t="n">
        <v>45643</v>
      </c>
      <c r="C1784" s="1" t="n">
        <v>45646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60542-2024</t>
        </is>
      </c>
      <c r="B1785" s="1" t="n">
        <v>45643</v>
      </c>
      <c r="C1785" s="1" t="n">
        <v>45646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>
      <c r="A1786" t="inlineStr">
        <is>
          <t>A 61161-2024</t>
        </is>
      </c>
      <c r="B1786" s="1" t="n">
        <v>45645</v>
      </c>
      <c r="C1786" s="1" t="n">
        <v>45646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2024-12-20T15:22:03Z</dcterms:created>
  <dcterms:modified xmlns:dcterms="http://purl.org/dc/terms/" xmlns:xsi="http://www.w3.org/2001/XMLSchema-instance" xsi:type="dcterms:W3CDTF">2024-12-20T15:22:05Z</dcterms:modified>
</cp:coreProperties>
</file>